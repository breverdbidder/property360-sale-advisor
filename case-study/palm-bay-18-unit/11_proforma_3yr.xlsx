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3-Year Pro Form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<sst xmlns="http://schemas.openxmlformats.org/spreadsheetml/2006/main" count="44" uniqueCount="44">
  <si>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PALM BAY PALMS APARTMENTS - 3-YEAR PRO FORMA</t>
  </si>
  <si>
    <t xml:space="preserve">2750 Malabar Road SE, Palm Bay, FL 32907 | 18 Units</t>
  </si>
  <si>
    <t xml:space="preserve">ASSUMPTIONS</t>
  </si>
  <si>
    <t xml:space="preserve">Annual Rent Growth</t>
  </si>
  <si>
    <t xml:space="preserve">Annual Expense Growth</t>
  </si>
  <si>
    <t xml:space="preserve">Year 1 Vacancy Rate</t>
  </si>
  <si>
    <t xml:space="preserve">Stabilized Vacancy Rate (Yr 2+)</t>
  </si>
  <si>
    <t xml:space="preserve">Year 1 CapEx</t>
  </si>
  <si>
    <t xml:space="preserve">Annual CapEx (Yr 2+)</t>
  </si>
  <si>
    <t xml:space="preserve">Management Fee %</t>
  </si>
  <si>
    <t xml:space="preserve">Gross Potential Rent (Year 0)</t>
  </si>
  <si>
    <t xml:space="preserve">Monthly Debt Service</t>
  </si>
  <si>
    <t xml:space="preserve">PRO FORMA PROJECTIONS</t>
  </si>
  <si>
    <t xml:space="preserve">Year 1</t>
  </si>
  <si>
    <t xml:space="preserve">Year 2</t>
  </si>
  <si>
    <t xml:space="preserve">Year 3</t>
  </si>
  <si>
    <t xml:space="preserve">INCOME</t>
  </si>
  <si>
    <t xml:space="preserve">Gross Potential Rent</t>
  </si>
  <si>
    <t xml:space="preserve">Vacancy Loss</t>
  </si>
  <si>
    <t xml:space="preserve">Effective Rental Income</t>
  </si>
  <si>
    <t xml:space="preserve">Laundry Income</t>
  </si>
  <si>
    <t xml:space="preserve">Late Fees/Other</t>
  </si>
  <si>
    <t xml:space="preserve">Total Gross Revenue</t>
  </si>
  <si>
    <t xml:space="preserve">EXPENSES</t>
  </si>
  <si>
    <t xml:space="preserve">Property Taxes</t>
  </si>
  <si>
    <t xml:space="preserve">Insurance</t>
  </si>
  <si>
    <t xml:space="preserve">Repairs &amp; Maintenance</t>
  </si>
  <si>
    <t xml:space="preserve">Property Management</t>
  </si>
  <si>
    <t xml:space="preserve">Utilities (Common Area)</t>
  </si>
  <si>
    <t xml:space="preserve">Landscaping</t>
  </si>
  <si>
    <t xml:space="preserve">Pest Control</t>
  </si>
  <si>
    <t xml:space="preserve">Legal/Admin</t>
  </si>
  <si>
    <t xml:space="preserve">Reserves ($250/unit/yr)</t>
  </si>
  <si>
    <t xml:space="preserve">Total Operating Expenses</t>
  </si>
  <si>
    <t xml:space="preserve">NET OPERATING INCOME</t>
  </si>
  <si>
    <t xml:space="preserve">Capital Expenditures</t>
  </si>
  <si>
    <t xml:space="preserve">Net Income After CapEx</t>
  </si>
  <si>
    <t xml:space="preserve">Annual Debt Service</t>
  </si>
  <si>
    <t xml:space="preserve">CASH FLOW AFTER DEBT SERVICE</t>
  </si>
  <si>
    <t xml:space="preserve">KEY METRICS</t>
  </si>
  <si>
    <t xml:space="preserve">Cap Rate (at $1.95M)</t>
  </si>
  <si>
    <t xml:space="preserve">DSCR</t>
  </si>
  <si>
    <t xml:space="preserve">Cash-on-Cash Return (25% down)</t>
  </si>
  <si>
    <t xml:space="preserve">Expense Ratio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</si>
</sst>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\$#,##0"/>
    <numFmt numFmtId="167" formatCode="0.0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5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E3A5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3F2FD"/>
        <bgColor rgb="FFE8F5E9"/>
      </patternFill>
    </fill>
    <fill>
      <patternFill patternType="solid">
        <fgColor rgb="FF1E3A5F"/>
        <bgColor rgb="FF333333"/>
      </patternFill>
    </fill>
    <fill>
      <patternFill patternType="solid">
        <fgColor rgb="FFE8F5E9"/>
        <bgColor rgb="FFE3F2FD"/>
      </patternFill>
    </fill>
    <fill>
      <patternFill patternType="solid">
        <fgColor rgb="FFFFEBEE"/>
        <bgColor rgb="FFE8F5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8F5E9"/>
      <rgbColor rgb="FFE3F2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6" t="n">
        <v>0.03</v>
      </c>
    </row>
    <row r="6" customFormat="false" ht="15" hidden="false" customHeight="false" outlineLevel="0" collapsed="false">
      <c r="A6" s="5" t="s">
        <v>4</v>
      </c>
      <c r="B6" s="6" t="n">
        <v>0.02</v>
      </c>
    </row>
    <row r="7" customFormat="false" ht="15" hidden="false" customHeight="false" outlineLevel="0" collapsed="false">
      <c r="A7" s="5" t="s">
        <v>5</v>
      </c>
      <c r="B7" s="6" t="n">
        <v>0.111</v>
      </c>
    </row>
    <row r="8" customFormat="false" ht="15" hidden="false" customHeight="false" outlineLevel="0" collapsed="false">
      <c r="A8" s="5" t="s">
        <v>6</v>
      </c>
      <c r="B8" s="6" t="n">
        <v>0.05</v>
      </c>
    </row>
    <row r="9" customFormat="false" ht="15" hidden="false" customHeight="false" outlineLevel="0" collapsed="false">
      <c r="A9" s="5" t="s">
        <v>7</v>
      </c>
      <c r="B9" s="7" t="n">
        <v>87300</v>
      </c>
    </row>
    <row r="10" customFormat="false" ht="15" hidden="false" customHeight="false" outlineLevel="0" collapsed="false">
      <c r="A10" s="5" t="s">
        <v>8</v>
      </c>
      <c r="B10" s="7" t="n">
        <v>10000</v>
      </c>
    </row>
    <row r="11" customFormat="false" ht="15" hidden="false" customHeight="false" outlineLevel="0" collapsed="false">
      <c r="A11" s="5" t="s">
        <v>9</v>
      </c>
      <c r="B11" s="6" t="n">
        <v>0.08</v>
      </c>
    </row>
    <row r="12" customFormat="false" ht="15" hidden="false" customHeight="false" outlineLevel="0" collapsed="false">
      <c r="A12" s="5" t="s">
        <v>10</v>
      </c>
      <c r="B12" s="7" t="n">
        <v>282000</v>
      </c>
    </row>
    <row r="13" customFormat="false" ht="15" hidden="false" customHeight="false" outlineLevel="0" collapsed="false">
      <c r="A13" s="5" t="s">
        <v>11</v>
      </c>
      <c r="B13" s="7" t="n">
        <v>6150</v>
      </c>
    </row>
    <row r="16" customFormat="false" ht="15" hidden="false" customHeight="false" outlineLevel="0" collapsed="false">
      <c r="A16" s="8" t="s">
        <v>12</v>
      </c>
    </row>
    <row r="17" customFormat="false" ht="15" hidden="false" customHeight="false" outlineLevel="0" collapsed="false">
      <c r="A17" s="9"/>
      <c r="B17" s="9" t="s">
        <v>13</v>
      </c>
      <c r="C17" s="9" t="s">
        <v>14</v>
      </c>
      <c r="D17" s="9" t="s">
        <v>15</v>
      </c>
    </row>
    <row r="18" customFormat="false" ht="15" hidden="false" customHeight="false" outlineLevel="0" collapsed="false">
      <c r="A18" s="10" t="s">
        <v>16</v>
      </c>
      <c r="B18" s="11"/>
      <c r="C18" s="11"/>
      <c r="D18" s="11"/>
    </row>
    <row r="19" customFormat="false" ht="15" hidden="false" customHeight="false" outlineLevel="0" collapsed="false">
      <c r="A19" s="12" t="s">
        <v>17</v>
      </c>
      <c r="B19" s="13" t="n">
        <f aca="false">B12*(1+B5)</f>
        <v>290460</v>
      </c>
      <c r="C19" s="13" t="n">
        <f aca="false">B19*(1+B5)</f>
        <v>299173.8</v>
      </c>
      <c r="D19" s="13" t="n">
        <f aca="false">C19*(1+B5)</f>
        <v>308149.014</v>
      </c>
    </row>
    <row r="20" customFormat="false" ht="15" hidden="false" customHeight="false" outlineLevel="0" collapsed="false">
      <c r="A20" s="12" t="s">
        <v>18</v>
      </c>
      <c r="B20" s="13" t="n">
        <f aca="false">-B19*B7</f>
        <v>-32241.06</v>
      </c>
      <c r="C20" s="13" t="n">
        <f aca="false">-C19*B8</f>
        <v>-14958.69</v>
      </c>
      <c r="D20" s="13" t="n">
        <f aca="false">-D19*B8</f>
        <v>-15407.4507</v>
      </c>
    </row>
    <row r="21" customFormat="false" ht="15" hidden="false" customHeight="false" outlineLevel="0" collapsed="false">
      <c r="A21" s="10" t="s">
        <v>19</v>
      </c>
      <c r="B21" s="11" t="n">
        <f aca="false">B19+B20</f>
        <v>258218.94</v>
      </c>
      <c r="C21" s="11" t="n">
        <f aca="false">C19+C20</f>
        <v>284215.11</v>
      </c>
      <c r="D21" s="11" t="n">
        <f aca="false">D19+D20</f>
        <v>292741.5633</v>
      </c>
    </row>
    <row r="22" customFormat="false" ht="15" hidden="false" customHeight="false" outlineLevel="0" collapsed="false">
      <c r="A22" s="12" t="s">
        <v>20</v>
      </c>
      <c r="B22" s="14" t="n">
        <v>6000</v>
      </c>
      <c r="C22" s="13" t="n">
        <f aca="false">B22*(1+B5)</f>
        <v>6180</v>
      </c>
      <c r="D22" s="13" t="n">
        <f aca="false">C22*(1+B5)</f>
        <v>6365.4</v>
      </c>
    </row>
    <row r="23" customFormat="false" ht="15" hidden="false" customHeight="false" outlineLevel="0" collapsed="false">
      <c r="A23" s="12" t="s">
        <v>21</v>
      </c>
      <c r="B23" s="14" t="n">
        <v>3000</v>
      </c>
      <c r="C23" s="13" t="n">
        <f aca="false">B23*(1+B5)</f>
        <v>3090</v>
      </c>
      <c r="D23" s="13" t="n">
        <f aca="false">C23*(1+B5)</f>
        <v>3182.7</v>
      </c>
    </row>
    <row r="24" customFormat="false" ht="15" hidden="false" customHeight="false" outlineLevel="0" collapsed="false">
      <c r="A24" s="15" t="s">
        <v>22</v>
      </c>
      <c r="B24" s="16" t="n">
        <f aca="false">B21+B22+B23</f>
        <v>267218.94</v>
      </c>
      <c r="C24" s="16" t="n">
        <f aca="false">C21+C22+C23</f>
        <v>293485.11</v>
      </c>
      <c r="D24" s="16" t="n">
        <f aca="false">D21+D22+D23</f>
        <v>302289.6633</v>
      </c>
    </row>
    <row r="25" customFormat="false" ht="15" hidden="false" customHeight="false" outlineLevel="0" collapsed="false">
      <c r="A25" s="12"/>
      <c r="B25" s="13"/>
      <c r="C25" s="13"/>
      <c r="D25" s="13"/>
    </row>
    <row r="26" customFormat="false" ht="15" hidden="false" customHeight="false" outlineLevel="0" collapsed="false">
      <c r="A26" s="10" t="s">
        <v>23</v>
      </c>
      <c r="B26" s="11"/>
      <c r="C26" s="11"/>
      <c r="D26" s="11"/>
    </row>
    <row r="27" customFormat="false" ht="15" hidden="false" customHeight="false" outlineLevel="0" collapsed="false">
      <c r="A27" s="12" t="s">
        <v>24</v>
      </c>
      <c r="B27" s="14" t="n">
        <v>18750</v>
      </c>
      <c r="C27" s="13" t="n">
        <f aca="false">B27*(1+B6)</f>
        <v>19125</v>
      </c>
      <c r="D27" s="13" t="n">
        <f aca="false">C27*(1+B6)</f>
        <v>19507.5</v>
      </c>
    </row>
    <row r="28" customFormat="false" ht="15" hidden="false" customHeight="false" outlineLevel="0" collapsed="false">
      <c r="A28" s="12" t="s">
        <v>25</v>
      </c>
      <c r="B28" s="14" t="n">
        <v>32400</v>
      </c>
      <c r="C28" s="13" t="n">
        <f aca="false">B28*(1+B6)</f>
        <v>33048</v>
      </c>
      <c r="D28" s="13" t="n">
        <f aca="false">C28*(1+B6)</f>
        <v>33708.96</v>
      </c>
    </row>
    <row r="29" customFormat="false" ht="15" hidden="false" customHeight="false" outlineLevel="0" collapsed="false">
      <c r="A29" s="12" t="s">
        <v>26</v>
      </c>
      <c r="B29" s="14" t="n">
        <v>22000</v>
      </c>
      <c r="C29" s="13" t="n">
        <f aca="false">B29*(1+B6)</f>
        <v>22440</v>
      </c>
      <c r="D29" s="13" t="n">
        <f aca="false">C29*(1+B6)</f>
        <v>22888.8</v>
      </c>
    </row>
    <row r="30" customFormat="false" ht="15" hidden="false" customHeight="false" outlineLevel="0" collapsed="false">
      <c r="A30" s="12" t="s">
        <v>27</v>
      </c>
      <c r="B30" s="13" t="n">
        <f aca="false">B24*B11</f>
        <v>21377.5152</v>
      </c>
      <c r="C30" s="13" t="n">
        <f aca="false">C24*B11</f>
        <v>23478.8088</v>
      </c>
      <c r="D30" s="13" t="n">
        <f aca="false">D24*B11</f>
        <v>24183.173064</v>
      </c>
    </row>
    <row r="31" customFormat="false" ht="15" hidden="false" customHeight="false" outlineLevel="0" collapsed="false">
      <c r="A31" s="12" t="s">
        <v>28</v>
      </c>
      <c r="B31" s="14" t="n">
        <v>8400</v>
      </c>
      <c r="C31" s="13" t="n">
        <f aca="false">B31*(1+B6)</f>
        <v>8568</v>
      </c>
      <c r="D31" s="13" t="n">
        <f aca="false">C31*(1+B6)</f>
        <v>8739.36</v>
      </c>
    </row>
    <row r="32" customFormat="false" ht="15" hidden="false" customHeight="false" outlineLevel="0" collapsed="false">
      <c r="A32" s="12" t="s">
        <v>29</v>
      </c>
      <c r="B32" s="14" t="n">
        <v>4800</v>
      </c>
      <c r="C32" s="13" t="n">
        <f aca="false">B32*(1+B6)</f>
        <v>4896</v>
      </c>
      <c r="D32" s="13" t="n">
        <f aca="false">C32*(1+B6)</f>
        <v>4993.92</v>
      </c>
    </row>
    <row r="33" customFormat="false" ht="15" hidden="false" customHeight="false" outlineLevel="0" collapsed="false">
      <c r="A33" s="12" t="s">
        <v>30</v>
      </c>
      <c r="B33" s="14" t="n">
        <v>2160</v>
      </c>
      <c r="C33" s="13" t="n">
        <f aca="false">B33*(1+B6)</f>
        <v>2203.2</v>
      </c>
      <c r="D33" s="13" t="n">
        <f aca="false">C33*(1+B6)</f>
        <v>2247.264</v>
      </c>
    </row>
    <row r="34" customFormat="false" ht="15" hidden="false" customHeight="false" outlineLevel="0" collapsed="false">
      <c r="A34" s="12" t="s">
        <v>31</v>
      </c>
      <c r="B34" s="14" t="n">
        <v>2400</v>
      </c>
      <c r="C34" s="13" t="n">
        <f aca="false">B34*(1+B6)</f>
        <v>2448</v>
      </c>
      <c r="D34" s="13" t="n">
        <f aca="false">C34*(1+B6)</f>
        <v>2496.96</v>
      </c>
    </row>
    <row r="35" customFormat="false" ht="15" hidden="false" customHeight="false" outlineLevel="0" collapsed="false">
      <c r="A35" s="12" t="s">
        <v>32</v>
      </c>
      <c r="B35" s="14" t="n">
        <v>4500</v>
      </c>
      <c r="C35" s="13" t="n">
        <f aca="false">B35*(1+B6)</f>
        <v>4590</v>
      </c>
      <c r="D35" s="13" t="n">
        <f aca="false">C35*(1+B6)</f>
        <v>4681.8</v>
      </c>
    </row>
    <row r="36" customFormat="false" ht="15" hidden="false" customHeight="false" outlineLevel="0" collapsed="false">
      <c r="A36" s="17" t="s">
        <v>33</v>
      </c>
      <c r="B36" s="18" t="n">
        <f aca="false">SUM(B27:B35)</f>
        <v>116787.5152</v>
      </c>
      <c r="C36" s="18" t="n">
        <f aca="false">SUM(C27:C35)</f>
        <v>120797.0088</v>
      </c>
      <c r="D36" s="18" t="n">
        <f aca="false">SUM(D27:D35)</f>
        <v>123447.737064</v>
      </c>
    </row>
    <row r="37" customFormat="false" ht="15" hidden="false" customHeight="false" outlineLevel="0" collapsed="false">
      <c r="A37" s="12"/>
      <c r="B37" s="13"/>
      <c r="C37" s="13"/>
      <c r="D37" s="13"/>
    </row>
    <row r="38" customFormat="false" ht="15" hidden="false" customHeight="false" outlineLevel="0" collapsed="false">
      <c r="A38" s="15" t="s">
        <v>34</v>
      </c>
      <c r="B38" s="16" t="n">
        <f aca="false">B24-B36</f>
        <v>150431.4248</v>
      </c>
      <c r="C38" s="16" t="n">
        <f aca="false">C24-C36</f>
        <v>172688.1012</v>
      </c>
      <c r="D38" s="16" t="n">
        <f aca="false">D24-D36</f>
        <v>178841.926236</v>
      </c>
    </row>
    <row r="39" customFormat="false" ht="15" hidden="false" customHeight="false" outlineLevel="0" collapsed="false">
      <c r="A39" s="12" t="s">
        <v>35</v>
      </c>
      <c r="B39" s="13" t="n">
        <f aca="false">B9</f>
        <v>87300</v>
      </c>
      <c r="C39" s="13" t="n">
        <f aca="false">B10</f>
        <v>10000</v>
      </c>
      <c r="D39" s="13" t="n">
        <f aca="false">B10</f>
        <v>10000</v>
      </c>
    </row>
    <row r="40" customFormat="false" ht="15" hidden="false" customHeight="false" outlineLevel="0" collapsed="false">
      <c r="A40" s="10" t="s">
        <v>36</v>
      </c>
      <c r="B40" s="11" t="n">
        <f aca="false">B38-B39</f>
        <v>63131.4248</v>
      </c>
      <c r="C40" s="11" t="n">
        <f aca="false">C38-C39</f>
        <v>162688.1012</v>
      </c>
      <c r="D40" s="11" t="n">
        <f aca="false">D38-D39</f>
        <v>168841.926236</v>
      </c>
    </row>
    <row r="41" customFormat="false" ht="15" hidden="false" customHeight="false" outlineLevel="0" collapsed="false">
      <c r="A41" s="12" t="s">
        <v>37</v>
      </c>
      <c r="B41" s="13" t="n">
        <f aca="false">B13*12</f>
        <v>73800</v>
      </c>
      <c r="C41" s="13" t="n">
        <f aca="false">B13*12</f>
        <v>73800</v>
      </c>
      <c r="D41" s="13" t="n">
        <f aca="false">B13*12</f>
        <v>73800</v>
      </c>
    </row>
    <row r="42" customFormat="false" ht="15" hidden="false" customHeight="false" outlineLevel="0" collapsed="false">
      <c r="A42" s="19" t="s">
        <v>38</v>
      </c>
      <c r="B42" s="20" t="n">
        <f aca="false">B40-B41</f>
        <v>-10668.5752</v>
      </c>
      <c r="C42" s="20" t="n">
        <f aca="false">C40-C41</f>
        <v>88888.1012</v>
      </c>
      <c r="D42" s="20" t="n">
        <f aca="false">D40-D41</f>
        <v>95041.9262360001</v>
      </c>
    </row>
    <row r="43" customFormat="false" ht="15" hidden="false" customHeight="false" outlineLevel="0" collapsed="false">
      <c r="A43" s="12"/>
      <c r="B43" s="13"/>
      <c r="C43" s="13"/>
      <c r="D43" s="13"/>
    </row>
    <row r="44" customFormat="false" ht="15" hidden="false" customHeight="false" outlineLevel="0" collapsed="false">
      <c r="A44" s="10" t="s">
        <v>39</v>
      </c>
      <c r="B44" s="11"/>
      <c r="C44" s="11"/>
      <c r="D44" s="11"/>
    </row>
    <row r="45" customFormat="false" ht="15" hidden="false" customHeight="false" outlineLevel="0" collapsed="false">
      <c r="A45" s="12" t="s">
        <v>40</v>
      </c>
      <c r="B45" s="21" t="n">
        <f aca="false">B38/1950000</f>
        <v>0.0771443204102564</v>
      </c>
      <c r="C45" s="21" t="n">
        <f aca="false">C38/1950000</f>
        <v>0.0885580006153846</v>
      </c>
      <c r="D45" s="21" t="n">
        <f aca="false">D38/1950000</f>
        <v>0.0917138083261539</v>
      </c>
    </row>
    <row r="46" customFormat="false" ht="15" hidden="false" customHeight="false" outlineLevel="0" collapsed="false">
      <c r="A46" s="12" t="s">
        <v>41</v>
      </c>
      <c r="B46" s="22" t="n">
        <f aca="false">B38/B41</f>
        <v>2.0383661897019</v>
      </c>
      <c r="C46" s="22" t="n">
        <f aca="false">C38/C41</f>
        <v>2.33994717073171</v>
      </c>
      <c r="D46" s="22" t="n">
        <f aca="false">D38/D41</f>
        <v>2.42333233382114</v>
      </c>
    </row>
    <row r="47" customFormat="false" ht="15" hidden="false" customHeight="false" outlineLevel="0" collapsed="false">
      <c r="A47" s="12" t="s">
        <v>42</v>
      </c>
      <c r="B47" s="21" t="n">
        <f aca="false">B42/(1950000*0.25)</f>
        <v>-0.0218842568205128</v>
      </c>
      <c r="C47" s="21" t="n">
        <f aca="false">C42/(1950000*0.25)</f>
        <v>0.182334566564103</v>
      </c>
      <c r="D47" s="21" t="n">
        <f aca="false">D42/(1950000*0.25)</f>
        <v>0.19495779740718</v>
      </c>
    </row>
    <row r="48" customFormat="false" ht="15" hidden="false" customHeight="false" outlineLevel="0" collapsed="false">
      <c r="A48" s="12" t="s">
        <v>43</v>
      </c>
      <c r="B48" s="21" t="n">
        <f aca="false">B36/B24</f>
        <v>0.437048044573487</v>
      </c>
      <c r="C48" s="21" t="n">
        <f aca="false">C36/C24</f>
        <v>0.41159501686474</v>
      </c>
      <c r="D48" s="21" t="n">
        <f aca="false">D36/D24</f>
        <v>0.408375647768965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2026-02-25T23:20:48Z</dcterms:created>
  <dc:creator>openpyxl</dc:creator>
  <dc:description/>
  <dc:language>en-US</dc:language>
  <cp:lastModifiedBy/>
  <dcterms:modified xsi:type="dcterms:W3CDTF">2026-02-25T23:20:48Z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