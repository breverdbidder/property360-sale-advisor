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Year Pro Fo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1565C0"/>
      <sz val="11"/>
    </font>
    <font>
      <name val="Arial"/>
      <b val="1"/>
      <sz val="10"/>
    </font>
    <font>
      <name val="Arial"/>
      <color rgb="001565C0"/>
      <sz val="10"/>
    </font>
    <font>
      <name val="Arial"/>
      <b val="1"/>
      <color rgb="00FFFFFF"/>
      <sz val="10"/>
    </font>
    <font>
      <name val="Arial"/>
      <b val="1"/>
      <sz val="10"/>
      <u val="single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ASSUMPTIONS</t>
        </is>
      </c>
      <c r="B1" s="2" t="n"/>
      <c r="C1" s="2" t="n"/>
      <c r="D1" s="2" t="n"/>
    </row>
    <row r="2">
      <c r="A2" s="3" t="inlineStr">
        <is>
          <t>Rent Growth Rate</t>
        </is>
      </c>
      <c r="B2" s="4" t="n">
        <v>0.03</v>
      </c>
      <c r="C2" s="2" t="n"/>
      <c r="D2" s="2" t="n"/>
    </row>
    <row r="3">
      <c r="A3" s="3" t="inlineStr">
        <is>
          <t>Expense Growth Rate</t>
        </is>
      </c>
      <c r="B3" s="4" t="n">
        <v>0.02</v>
      </c>
      <c r="C3" s="2" t="n"/>
      <c r="D3" s="2" t="n"/>
    </row>
    <row r="4">
      <c r="A4" s="3" t="inlineStr">
        <is>
          <t>Year 1 Vacancy Rate</t>
        </is>
      </c>
      <c r="B4" s="4" t="n">
        <v>0.111</v>
      </c>
      <c r="C4" s="2" t="n"/>
      <c r="D4" s="2" t="n"/>
    </row>
    <row r="5">
      <c r="A5" s="3" t="inlineStr">
        <is>
          <t>Year 2+ Vacancy Rate</t>
        </is>
      </c>
      <c r="B5" s="4" t="n">
        <v>0.05</v>
      </c>
      <c r="C5" s="2" t="n"/>
      <c r="D5" s="2" t="n"/>
    </row>
    <row r="6">
      <c r="A6" s="3" t="inlineStr">
        <is>
          <t>Year 1 CapEx</t>
        </is>
      </c>
      <c r="B6" s="5" t="n">
        <v>87300</v>
      </c>
      <c r="C6" s="2" t="n"/>
      <c r="D6" s="2" t="n"/>
    </row>
    <row r="7">
      <c r="A7" s="3" t="inlineStr">
        <is>
          <t>Year 2+ CapEx</t>
        </is>
      </c>
      <c r="B7" s="5" t="n">
        <v>10000</v>
      </c>
      <c r="C7" s="2" t="n"/>
      <c r="D7" s="2" t="n"/>
    </row>
    <row r="8">
      <c r="A8" s="3" t="inlineStr">
        <is>
          <t>Management Fee</t>
        </is>
      </c>
      <c r="B8" s="4" t="n">
        <v>0.08</v>
      </c>
      <c r="C8" s="2" t="n"/>
      <c r="D8" s="2" t="n"/>
    </row>
    <row r="9">
      <c r="A9" s="3" t="inlineStr">
        <is>
          <t>Annual Debt Service</t>
        </is>
      </c>
      <c r="B9" s="5" t="n">
        <v>73800</v>
      </c>
      <c r="C9" s="2" t="n"/>
      <c r="D9" s="2" t="n"/>
    </row>
    <row r="10">
      <c r="A10" s="2" t="n"/>
      <c r="B10" s="2" t="n"/>
      <c r="C10" s="2" t="n"/>
      <c r="D10" s="2" t="n"/>
    </row>
    <row r="12">
      <c r="A12" s="6" t="inlineStr"/>
      <c r="B12" s="6" t="inlineStr">
        <is>
          <t>Year 1</t>
        </is>
      </c>
      <c r="C12" s="6" t="inlineStr">
        <is>
          <t>Year 2</t>
        </is>
      </c>
      <c r="D12" s="6" t="inlineStr">
        <is>
          <t>Year 3</t>
        </is>
      </c>
    </row>
    <row r="13">
      <c r="A13" s="7" t="inlineStr">
        <is>
          <t>INCOME</t>
        </is>
      </c>
      <c r="B13" s="8" t="n"/>
      <c r="C13" s="8" t="n"/>
      <c r="D13" s="8" t="n"/>
    </row>
    <row r="14">
      <c r="A14" s="9" t="inlineStr">
        <is>
          <t xml:space="preserve">  Gross Potential Rent</t>
        </is>
      </c>
      <c r="B14" s="10" t="n">
        <v>298800</v>
      </c>
      <c r="C14" s="10">
        <f>B14*(1+$B$2)</f>
        <v/>
      </c>
      <c r="D14" s="10">
        <f>C14*(1+$B$2)</f>
        <v/>
      </c>
    </row>
    <row r="15">
      <c r="A15" s="9" t="inlineStr">
        <is>
          <t xml:space="preserve">  Less: Vacancy</t>
        </is>
      </c>
      <c r="B15" s="10">
        <f>-B14*$B$4</f>
        <v/>
      </c>
      <c r="C15" s="10">
        <f>-C14*$B$5</f>
        <v/>
      </c>
      <c r="D15" s="10">
        <f>-D14*$B$5</f>
        <v/>
      </c>
    </row>
    <row r="16">
      <c r="A16" s="9" t="inlineStr">
        <is>
          <t xml:space="preserve">  Effective Gross Income</t>
        </is>
      </c>
      <c r="B16" s="10">
        <f>B14+B15</f>
        <v/>
      </c>
      <c r="C16" s="10">
        <f>C14+C15</f>
        <v/>
      </c>
      <c r="D16" s="10">
        <f>D14+D15</f>
        <v/>
      </c>
    </row>
    <row r="17">
      <c r="A17" s="9" t="inlineStr">
        <is>
          <t xml:space="preserve">  Laundry Income</t>
        </is>
      </c>
      <c r="B17" s="10" t="n">
        <v>6000</v>
      </c>
      <c r="C17" s="10">
        <f>B17*(1+$B$2)</f>
        <v/>
      </c>
      <c r="D17" s="10">
        <f>C17*(1+$B$2)</f>
        <v/>
      </c>
    </row>
    <row r="18">
      <c r="A18" s="9" t="inlineStr">
        <is>
          <t xml:space="preserve">  Late Fees/Other</t>
        </is>
      </c>
      <c r="B18" s="10" t="n">
        <v>3000</v>
      </c>
      <c r="C18" s="10">
        <f>B18*(1+$B$2)</f>
        <v/>
      </c>
      <c r="D18" s="10">
        <f>C18*(1+$B$2)</f>
        <v/>
      </c>
    </row>
    <row r="19">
      <c r="A19" s="11" t="inlineStr">
        <is>
          <t>Total Revenue</t>
        </is>
      </c>
      <c r="B19" s="12">
        <f>B16+B17+B18</f>
        <v/>
      </c>
      <c r="C19" s="12">
        <f>C16+C17+C18</f>
        <v/>
      </c>
      <c r="D19" s="12">
        <f>D16+D17+D18</f>
        <v/>
      </c>
    </row>
    <row r="20">
      <c r="A20" s="8" t="n"/>
      <c r="B20" s="8" t="n"/>
      <c r="C20" s="8" t="n"/>
      <c r="D20" s="8" t="n"/>
    </row>
    <row r="21">
      <c r="A21" s="7" t="inlineStr">
        <is>
          <t>EXPENSES</t>
        </is>
      </c>
      <c r="B21" s="8" t="n"/>
      <c r="C21" s="8" t="n"/>
      <c r="D21" s="8" t="n"/>
    </row>
    <row r="22">
      <c r="A22" s="9" t="inlineStr">
        <is>
          <t xml:space="preserve">  Property Taxes</t>
        </is>
      </c>
      <c r="B22" s="10" t="n">
        <v>18750</v>
      </c>
      <c r="C22" s="10">
        <f>B22*(1+$B$3)</f>
        <v/>
      </c>
      <c r="D22" s="10">
        <f>C22*(1+$B$3)</f>
        <v/>
      </c>
    </row>
    <row r="23">
      <c r="A23" s="9" t="inlineStr">
        <is>
          <t xml:space="preserve">  Insurance</t>
        </is>
      </c>
      <c r="B23" s="10" t="n">
        <v>32400</v>
      </c>
      <c r="C23" s="10">
        <f>B23*(1+$B$3)</f>
        <v/>
      </c>
      <c r="D23" s="10">
        <f>C23*(1+$B$3)</f>
        <v/>
      </c>
    </row>
    <row r="24">
      <c r="A24" s="9" t="inlineStr">
        <is>
          <t xml:space="preserve">  Repairs &amp; Maintenance</t>
        </is>
      </c>
      <c r="B24" s="10" t="n">
        <v>22000</v>
      </c>
      <c r="C24" s="10">
        <f>B24*(1+$B$3)</f>
        <v/>
      </c>
      <c r="D24" s="10">
        <f>C24*(1+$B$3)</f>
        <v/>
      </c>
    </row>
    <row r="25">
      <c r="A25" s="9" t="inlineStr">
        <is>
          <t xml:space="preserve">  Property Management</t>
        </is>
      </c>
      <c r="B25" s="10">
        <f>$B$8*B19</f>
        <v/>
      </c>
      <c r="C25" s="10">
        <f>$B$8*C19</f>
        <v/>
      </c>
      <c r="D25" s="10">
        <f>$B$8*D19</f>
        <v/>
      </c>
    </row>
    <row r="26">
      <c r="A26" s="9" t="inlineStr">
        <is>
          <t xml:space="preserve">  Utilities</t>
        </is>
      </c>
      <c r="B26" s="10" t="n">
        <v>8400</v>
      </c>
      <c r="C26" s="10">
        <f>B26*(1+$B$3)</f>
        <v/>
      </c>
      <c r="D26" s="10">
        <f>C26*(1+$B$3)</f>
        <v/>
      </c>
    </row>
    <row r="27">
      <c r="A27" s="9" t="inlineStr">
        <is>
          <t xml:space="preserve">  Landscaping</t>
        </is>
      </c>
      <c r="B27" s="10" t="n">
        <v>4800</v>
      </c>
      <c r="C27" s="10">
        <f>B27*(1+$B$3)</f>
        <v/>
      </c>
      <c r="D27" s="10">
        <f>C27*(1+$B$3)</f>
        <v/>
      </c>
    </row>
    <row r="28">
      <c r="A28" s="9" t="inlineStr">
        <is>
          <t xml:space="preserve">  Pest Control</t>
        </is>
      </c>
      <c r="B28" s="10" t="n">
        <v>2160</v>
      </c>
      <c r="C28" s="10">
        <f>B28*(1+$B$3)</f>
        <v/>
      </c>
      <c r="D28" s="10">
        <f>C28*(1+$B$3)</f>
        <v/>
      </c>
    </row>
    <row r="29">
      <c r="A29" s="9" t="inlineStr">
        <is>
          <t xml:space="preserve">  Legal/Admin</t>
        </is>
      </c>
      <c r="B29" s="10" t="n">
        <v>2400</v>
      </c>
      <c r="C29" s="10">
        <f>B29*(1+$B$3)</f>
        <v/>
      </c>
      <c r="D29" s="10">
        <f>C29*(1+$B$3)</f>
        <v/>
      </c>
    </row>
    <row r="30">
      <c r="A30" s="9" t="inlineStr">
        <is>
          <t xml:space="preserve">  Reserves</t>
        </is>
      </c>
      <c r="B30" s="10" t="n">
        <v>4500</v>
      </c>
      <c r="C30" s="10">
        <f>B30*(1+$B$3)</f>
        <v/>
      </c>
      <c r="D30" s="10">
        <f>C30*(1+$B$3)</f>
        <v/>
      </c>
    </row>
    <row r="31">
      <c r="A31" s="11" t="inlineStr">
        <is>
          <t>Total Expenses</t>
        </is>
      </c>
      <c r="B31" s="12">
        <f>SUM(B22,B23,B24,B25,B26,B27,B28,B29,B30)</f>
        <v/>
      </c>
      <c r="C31" s="12">
        <f>SUM(C22,C23,C24,C25,C26,C27,C28,C29,C30)</f>
        <v/>
      </c>
      <c r="D31" s="12">
        <f>SUM(D22,D23,D24,D25,D26,D27,D28,D29,D30)</f>
        <v/>
      </c>
    </row>
    <row r="32">
      <c r="A32" s="8" t="n"/>
      <c r="B32" s="8" t="n"/>
      <c r="C32" s="8" t="n"/>
      <c r="D32" s="8" t="n"/>
    </row>
    <row r="33">
      <c r="A33" s="7" t="inlineStr">
        <is>
          <t>BOTTOM LINE</t>
        </is>
      </c>
      <c r="B33" s="8" t="n"/>
      <c r="C33" s="8" t="n"/>
      <c r="D33" s="8" t="n"/>
    </row>
    <row r="34">
      <c r="A34" s="11" t="inlineStr">
        <is>
          <t>Net Operating Income (NOI)</t>
        </is>
      </c>
      <c r="B34" s="12">
        <f>B19-B31</f>
        <v/>
      </c>
      <c r="C34" s="12">
        <f>C19-C31</f>
        <v/>
      </c>
      <c r="D34" s="12">
        <f>D19-D31</f>
        <v/>
      </c>
    </row>
    <row r="35">
      <c r="A35" s="9" t="inlineStr">
        <is>
          <t xml:space="preserve">  Less: Capital Expenditures</t>
        </is>
      </c>
      <c r="B35" s="10">
        <f>-$B$6</f>
        <v/>
      </c>
      <c r="C35" s="10">
        <f>-$B$7</f>
        <v/>
      </c>
      <c r="D35" s="10">
        <f>-$B$7</f>
        <v/>
      </c>
    </row>
    <row r="36">
      <c r="A36" s="9" t="inlineStr">
        <is>
          <t xml:space="preserve">  Less: Debt Service</t>
        </is>
      </c>
      <c r="B36" s="10">
        <f>-$B$9</f>
        <v/>
      </c>
      <c r="C36" s="10">
        <f>-$B$9</f>
        <v/>
      </c>
      <c r="D36" s="10">
        <f>-$B$9</f>
        <v/>
      </c>
    </row>
    <row r="37">
      <c r="A37" s="11" t="inlineStr">
        <is>
          <t>Cash Flow After DS &amp; CapEx</t>
        </is>
      </c>
      <c r="B37" s="12">
        <f>B34+B35+B36</f>
        <v/>
      </c>
      <c r="C37" s="12">
        <f>C34+C35+C36</f>
        <v/>
      </c>
      <c r="D37" s="12">
        <f>D34+D35+D36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2026-02-25T23:39:28Z</dcterms:created>
  <dcterms:modified xmlns:dcterms="http://purl.org/dc/terms/" xmlns:xsi="http://www.w3.org/2001/XMLSchema-instance" xsi:type="dcterms:W3CDTF">2026-02-25T23:39:28Z</dcterms:modified>
</cp:coreProperties>
</file>