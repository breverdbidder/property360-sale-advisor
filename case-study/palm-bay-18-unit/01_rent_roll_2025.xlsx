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nt Roll" sheetId="1" state="visible" r:id="rId1"/>
    <sheet xmlns:r="http://schemas.openxmlformats.org/officeDocument/2006/relationships" name="Monthly Collections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'Rent Roll'!$A$1:$M$19</definedName>
    <definedName name="_xlnm._FilterDatabase" localSheetId="1" hidden="1">'Monthly Collections'!$A$1:$M$19</definedName>
    <definedName name="_xlnm._FilterDatabase" localSheetId="2" hidden="1">'Summary'!$A$1:$B$1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0.0%"/>
    <numFmt numFmtId="166" formatCode="$#,##0.00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E3A5F"/>
        <bgColor rgb="001E3A5F"/>
      </patternFill>
    </fill>
    <fill>
      <patternFill patternType="solid">
        <fgColor rgb="00FFF3E0"/>
        <bgColor rgb="00FFF3E0"/>
      </patternFill>
    </fill>
    <fill>
      <patternFill patternType="solid">
        <fgColor rgb="00FFEBEE"/>
        <bgColor rgb="00FFEBE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164" fontId="2" fillId="3" borderId="1" pivotButton="0" quotePrefix="0" xfId="0"/>
    <xf numFmtId="0" fontId="2" fillId="4" borderId="1" pivotButton="0" quotePrefix="0" xfId="0"/>
    <xf numFmtId="164" fontId="2" fillId="4" borderId="1" pivotButton="0" quotePrefix="0" xfId="0"/>
    <xf numFmtId="0" fontId="2" fillId="0" borderId="1" pivotButton="0" quotePrefix="0" xfId="0"/>
    <xf numFmtId="164" fontId="2" fillId="0" borderId="1" pivotButton="0" quotePrefix="0" xfId="0"/>
    <xf numFmtId="0" fontId="3" fillId="0" borderId="1" pivotButton="0" quotePrefix="0" xfId="0"/>
    <xf numFmtId="164" fontId="3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6" customWidth="1" min="3" max="3"/>
    <col width="25" customWidth="1" min="4" max="4"/>
    <col width="12" customWidth="1" min="5" max="5"/>
    <col width="14" customWidth="1" min="6" max="6"/>
    <col width="12" customWidth="1" min="7" max="7"/>
    <col width="12" customWidth="1" min="8" max="8"/>
    <col width="12" customWidth="1" min="9" max="9"/>
    <col width="14" customWidth="1" min="10" max="10"/>
    <col width="10" customWidth="1" min="11" max="11"/>
    <col width="16" customWidth="1" min="12" max="12"/>
    <col width="20" customWidth="1" min="13" max="13"/>
  </cols>
  <sheetData>
    <row r="1">
      <c r="A1" s="1" t="inlineStr">
        <is>
          <t>Unit #</t>
        </is>
      </c>
      <c r="B1" s="1" t="inlineStr">
        <is>
          <t>Unit Type</t>
        </is>
      </c>
      <c r="C1" s="1" t="inlineStr">
        <is>
          <t>SF</t>
        </is>
      </c>
      <c r="D1" s="1" t="inlineStr">
        <is>
          <t>Tenant Name</t>
        </is>
      </c>
      <c r="E1" s="1" t="inlineStr">
        <is>
          <t>Lease Start</t>
        </is>
      </c>
      <c r="F1" s="1" t="inlineStr">
        <is>
          <t>Lease Expiration</t>
        </is>
      </c>
      <c r="G1" s="1" t="inlineStr">
        <is>
          <t>Monthly Rent</t>
        </is>
      </c>
      <c r="H1" s="1" t="inlineStr">
        <is>
          <t>Market Rent</t>
        </is>
      </c>
      <c r="I1" s="1" t="inlineStr">
        <is>
          <t>Rent Delta</t>
        </is>
      </c>
      <c r="J1" s="1" t="inlineStr">
        <is>
          <t>Security Deposit</t>
        </is>
      </c>
      <c r="K1" s="1" t="inlineStr">
        <is>
          <t>Status</t>
        </is>
      </c>
      <c r="L1" s="1" t="inlineStr">
        <is>
          <t>Delinquent?</t>
        </is>
      </c>
      <c r="M1" s="1" t="inlineStr">
        <is>
          <t>Notes</t>
        </is>
      </c>
    </row>
    <row r="2">
      <c r="A2" s="2" t="inlineStr">
        <is>
          <t>101</t>
        </is>
      </c>
      <c r="B2" s="2" t="inlineStr">
        <is>
          <t>1BR/1BA</t>
        </is>
      </c>
      <c r="C2" s="2" t="n">
        <v>650</v>
      </c>
      <c r="D2" s="2" t="inlineStr">
        <is>
          <t>Maria Santos</t>
        </is>
      </c>
      <c r="E2" s="2" t="inlineStr">
        <is>
          <t>2025-09-01</t>
        </is>
      </c>
      <c r="F2" s="2" t="inlineStr">
        <is>
          <t>2026-08-31</t>
        </is>
      </c>
      <c r="G2" s="3" t="n">
        <v>1050</v>
      </c>
      <c r="H2" s="3" t="n">
        <v>1200</v>
      </c>
      <c r="I2" s="3">
        <f>H2-G2</f>
        <v/>
      </c>
      <c r="J2" s="3" t="n">
        <v>1050</v>
      </c>
      <c r="K2" s="2" t="inlineStr">
        <is>
          <t>Occupied</t>
        </is>
      </c>
      <c r="L2" s="2" t="inlineStr">
        <is>
          <t>No</t>
        </is>
      </c>
      <c r="M2" s="2" t="inlineStr"/>
    </row>
    <row r="3">
      <c r="A3" s="2" t="inlineStr">
        <is>
          <t>102</t>
        </is>
      </c>
      <c r="B3" s="2" t="inlineStr">
        <is>
          <t>1BR/1BA</t>
        </is>
      </c>
      <c r="C3" s="2" t="n">
        <v>650</v>
      </c>
      <c r="D3" s="2" t="inlineStr">
        <is>
          <t>James Wilson</t>
        </is>
      </c>
      <c r="E3" s="2" t="inlineStr">
        <is>
          <t>2025-06-01</t>
        </is>
      </c>
      <c r="F3" s="2" t="inlineStr">
        <is>
          <t>2026-05-31</t>
        </is>
      </c>
      <c r="G3" s="3" t="n">
        <v>1100</v>
      </c>
      <c r="H3" s="3" t="n">
        <v>1200</v>
      </c>
      <c r="I3" s="3">
        <f>H3-G3</f>
        <v/>
      </c>
      <c r="J3" s="3" t="n">
        <v>1100</v>
      </c>
      <c r="K3" s="2" t="inlineStr">
        <is>
          <t>Occupied</t>
        </is>
      </c>
      <c r="L3" s="2" t="inlineStr">
        <is>
          <t>No</t>
        </is>
      </c>
      <c r="M3" s="2" t="inlineStr"/>
    </row>
    <row r="4">
      <c r="A4" s="2" t="inlineStr">
        <is>
          <t>103</t>
        </is>
      </c>
      <c r="B4" s="2" t="inlineStr">
        <is>
          <t>1BR/1BA</t>
        </is>
      </c>
      <c r="C4" s="2" t="n">
        <v>650</v>
      </c>
      <c r="D4" s="2" t="inlineStr">
        <is>
          <t>Tanya Brown</t>
        </is>
      </c>
      <c r="E4" s="2" t="inlineStr">
        <is>
          <t>2024-03-01</t>
        </is>
      </c>
      <c r="F4" s="2" t="inlineStr">
        <is>
          <t>MTM</t>
        </is>
      </c>
      <c r="G4" s="3" t="n">
        <v>950</v>
      </c>
      <c r="H4" s="3" t="n">
        <v>1200</v>
      </c>
      <c r="I4" s="3">
        <f>H4-G4</f>
        <v/>
      </c>
      <c r="J4" s="3" t="n">
        <v>950</v>
      </c>
      <c r="K4" s="2" t="inlineStr">
        <is>
          <t>Occupied</t>
        </is>
      </c>
      <c r="L4" s="2" t="inlineStr">
        <is>
          <t>Yes - 60 days</t>
        </is>
      </c>
      <c r="M4" s="2" t="inlineStr">
        <is>
          <t>Delinquent - 60 days past due</t>
        </is>
      </c>
    </row>
    <row r="5">
      <c r="A5" s="2" t="inlineStr">
        <is>
          <t>104</t>
        </is>
      </c>
      <c r="B5" s="2" t="inlineStr">
        <is>
          <t>1BR/1BA</t>
        </is>
      </c>
      <c r="C5" s="2" t="n">
        <v>650</v>
      </c>
      <c r="D5" s="2" t="inlineStr">
        <is>
          <t>Robert Chen</t>
        </is>
      </c>
      <c r="E5" s="2" t="inlineStr">
        <is>
          <t>2025-12-01</t>
        </is>
      </c>
      <c r="F5" s="2" t="inlineStr">
        <is>
          <t>2026-11-30</t>
        </is>
      </c>
      <c r="G5" s="3" t="n">
        <v>1150</v>
      </c>
      <c r="H5" s="3" t="n">
        <v>1200</v>
      </c>
      <c r="I5" s="3">
        <f>H5-G5</f>
        <v/>
      </c>
      <c r="J5" s="3" t="n">
        <v>1150</v>
      </c>
      <c r="K5" s="2" t="inlineStr">
        <is>
          <t>Occupied</t>
        </is>
      </c>
      <c r="L5" s="2" t="inlineStr">
        <is>
          <t>No</t>
        </is>
      </c>
      <c r="M5" s="2" t="inlineStr"/>
    </row>
    <row r="6">
      <c r="A6" s="4" t="inlineStr">
        <is>
          <t>105</t>
        </is>
      </c>
      <c r="B6" s="4" t="inlineStr">
        <is>
          <t>1BR/1BA</t>
        </is>
      </c>
      <c r="C6" s="4" t="n">
        <v>650</v>
      </c>
      <c r="D6" s="4" t="inlineStr"/>
      <c r="E6" s="4" t="inlineStr"/>
      <c r="F6" s="4" t="inlineStr"/>
      <c r="G6" s="5" t="n">
        <v>0</v>
      </c>
      <c r="H6" s="5" t="n">
        <v>1200</v>
      </c>
      <c r="I6" s="5">
        <f>H6-G6</f>
        <v/>
      </c>
      <c r="J6" s="5" t="n">
        <v>0</v>
      </c>
      <c r="K6" s="4" t="inlineStr">
        <is>
          <t>Vacant</t>
        </is>
      </c>
      <c r="L6" s="4" t="inlineStr">
        <is>
          <t>No</t>
        </is>
      </c>
      <c r="M6" s="4" t="inlineStr">
        <is>
          <t>Vacant since Jan 2026</t>
        </is>
      </c>
    </row>
    <row r="7">
      <c r="A7" s="2" t="inlineStr">
        <is>
          <t>106</t>
        </is>
      </c>
      <c r="B7" s="2" t="inlineStr">
        <is>
          <t>1BR/1BA</t>
        </is>
      </c>
      <c r="C7" s="2" t="n">
        <v>650</v>
      </c>
      <c r="D7" s="2" t="inlineStr">
        <is>
          <t>Lisa Park</t>
        </is>
      </c>
      <c r="E7" s="2" t="inlineStr">
        <is>
          <t>2024-06-01</t>
        </is>
      </c>
      <c r="F7" s="2" t="inlineStr">
        <is>
          <t>MTM</t>
        </is>
      </c>
      <c r="G7" s="3" t="n">
        <v>1000</v>
      </c>
      <c r="H7" s="3" t="n">
        <v>1200</v>
      </c>
      <c r="I7" s="3">
        <f>H7-G7</f>
        <v/>
      </c>
      <c r="J7" s="3" t="n">
        <v>1000</v>
      </c>
      <c r="K7" s="2" t="inlineStr">
        <is>
          <t>Occupied</t>
        </is>
      </c>
      <c r="L7" s="2" t="inlineStr">
        <is>
          <t>No</t>
        </is>
      </c>
      <c r="M7" s="2" t="inlineStr"/>
    </row>
    <row r="8">
      <c r="A8" s="2" t="inlineStr">
        <is>
          <t>201</t>
        </is>
      </c>
      <c r="B8" s="2" t="inlineStr">
        <is>
          <t>2BR/1BA</t>
        </is>
      </c>
      <c r="C8" s="2" t="n">
        <v>850</v>
      </c>
      <c r="D8" s="2" t="inlineStr">
        <is>
          <t>David &amp; Ana Rodriguez</t>
        </is>
      </c>
      <c r="E8" s="2" t="inlineStr">
        <is>
          <t>2025-10-01</t>
        </is>
      </c>
      <c r="F8" s="2" t="inlineStr">
        <is>
          <t>2026-09-30</t>
        </is>
      </c>
      <c r="G8" s="3" t="n">
        <v>1350</v>
      </c>
      <c r="H8" s="3" t="n">
        <v>1450</v>
      </c>
      <c r="I8" s="3">
        <f>H8-G8</f>
        <v/>
      </c>
      <c r="J8" s="3" t="n">
        <v>1350</v>
      </c>
      <c r="K8" s="2" t="inlineStr">
        <is>
          <t>Occupied</t>
        </is>
      </c>
      <c r="L8" s="2" t="inlineStr">
        <is>
          <t>No</t>
        </is>
      </c>
      <c r="M8" s="2" t="inlineStr"/>
    </row>
    <row r="9">
      <c r="A9" s="2" t="inlineStr">
        <is>
          <t>202</t>
        </is>
      </c>
      <c r="B9" s="2" t="inlineStr">
        <is>
          <t>2BR/1BA</t>
        </is>
      </c>
      <c r="C9" s="2" t="n">
        <v>850</v>
      </c>
      <c r="D9" s="2" t="inlineStr">
        <is>
          <t>Michael Turner</t>
        </is>
      </c>
      <c r="E9" s="2" t="inlineStr">
        <is>
          <t>2026-02-01</t>
        </is>
      </c>
      <c r="F9" s="2" t="inlineStr">
        <is>
          <t>2027-01-31</t>
        </is>
      </c>
      <c r="G9" s="3" t="n">
        <v>1400</v>
      </c>
      <c r="H9" s="3" t="n">
        <v>1450</v>
      </c>
      <c r="I9" s="3">
        <f>H9-G9</f>
        <v/>
      </c>
      <c r="J9" s="3" t="n">
        <v>1400</v>
      </c>
      <c r="K9" s="2" t="inlineStr">
        <is>
          <t>Occupied</t>
        </is>
      </c>
      <c r="L9" s="2" t="inlineStr">
        <is>
          <t>No</t>
        </is>
      </c>
      <c r="M9" s="2" t="inlineStr"/>
    </row>
    <row r="10">
      <c r="A10" s="2" t="inlineStr">
        <is>
          <t>203</t>
        </is>
      </c>
      <c r="B10" s="2" t="inlineStr">
        <is>
          <t>2BR/1BA</t>
        </is>
      </c>
      <c r="C10" s="2" t="n">
        <v>850</v>
      </c>
      <c r="D10" s="2" t="inlineStr">
        <is>
          <t>Sarah Johnson</t>
        </is>
      </c>
      <c r="E10" s="2" t="inlineStr">
        <is>
          <t>2025-05-01</t>
        </is>
      </c>
      <c r="F10" s="2" t="inlineStr">
        <is>
          <t>2026-04-30</t>
        </is>
      </c>
      <c r="G10" s="3" t="n">
        <v>1250</v>
      </c>
      <c r="H10" s="3" t="n">
        <v>1450</v>
      </c>
      <c r="I10" s="3">
        <f>H10-G10</f>
        <v/>
      </c>
      <c r="J10" s="3" t="n">
        <v>1250</v>
      </c>
      <c r="K10" s="2" t="inlineStr">
        <is>
          <t>Occupied</t>
        </is>
      </c>
      <c r="L10" s="2" t="inlineStr">
        <is>
          <t>No</t>
        </is>
      </c>
      <c r="M10" s="2" t="inlineStr"/>
    </row>
    <row r="11">
      <c r="A11" s="2" t="inlineStr">
        <is>
          <t>204</t>
        </is>
      </c>
      <c r="B11" s="2" t="inlineStr">
        <is>
          <t>2BR/1BA</t>
        </is>
      </c>
      <c r="C11" s="2" t="n">
        <v>850</v>
      </c>
      <c r="D11" s="2" t="inlineStr">
        <is>
          <t>Kevin Lee</t>
        </is>
      </c>
      <c r="E11" s="2" t="inlineStr">
        <is>
          <t>2024-09-01</t>
        </is>
      </c>
      <c r="F11" s="2" t="inlineStr">
        <is>
          <t>MTM</t>
        </is>
      </c>
      <c r="G11" s="3" t="n">
        <v>1300</v>
      </c>
      <c r="H11" s="3" t="n">
        <v>1450</v>
      </c>
      <c r="I11" s="3">
        <f>H11-G11</f>
        <v/>
      </c>
      <c r="J11" s="3" t="n">
        <v>1300</v>
      </c>
      <c r="K11" s="2" t="inlineStr">
        <is>
          <t>Occupied</t>
        </is>
      </c>
      <c r="L11" s="2" t="inlineStr">
        <is>
          <t>No</t>
        </is>
      </c>
      <c r="M11" s="2" t="inlineStr"/>
    </row>
    <row r="12">
      <c r="A12" s="2" t="inlineStr">
        <is>
          <t>205</t>
        </is>
      </c>
      <c r="B12" s="2" t="inlineStr">
        <is>
          <t>2BR/1BA</t>
        </is>
      </c>
      <c r="C12" s="2" t="n">
        <v>850</v>
      </c>
      <c r="D12" s="2" t="inlineStr">
        <is>
          <t>Patricia Martinez</t>
        </is>
      </c>
      <c r="E12" s="2" t="inlineStr">
        <is>
          <t>2026-01-01</t>
        </is>
      </c>
      <c r="F12" s="2" t="inlineStr">
        <is>
          <t>2026-12-31</t>
        </is>
      </c>
      <c r="G12" s="3" t="n">
        <v>1350</v>
      </c>
      <c r="H12" s="3" t="n">
        <v>1450</v>
      </c>
      <c r="I12" s="3">
        <f>H12-G12</f>
        <v/>
      </c>
      <c r="J12" s="3" t="n">
        <v>1350</v>
      </c>
      <c r="K12" s="2" t="inlineStr">
        <is>
          <t>Occupied</t>
        </is>
      </c>
      <c r="L12" s="2" t="inlineStr">
        <is>
          <t>No</t>
        </is>
      </c>
      <c r="M12" s="2" t="inlineStr"/>
    </row>
    <row r="13">
      <c r="A13" s="4" t="inlineStr">
        <is>
          <t>206</t>
        </is>
      </c>
      <c r="B13" s="4" t="inlineStr">
        <is>
          <t>2BR/1BA</t>
        </is>
      </c>
      <c r="C13" s="4" t="n">
        <v>850</v>
      </c>
      <c r="D13" s="4" t="inlineStr"/>
      <c r="E13" s="4" t="inlineStr"/>
      <c r="F13" s="4" t="inlineStr"/>
      <c r="G13" s="5" t="n">
        <v>0</v>
      </c>
      <c r="H13" s="5" t="n">
        <v>1450</v>
      </c>
      <c r="I13" s="5">
        <f>H13-G13</f>
        <v/>
      </c>
      <c r="J13" s="5" t="n">
        <v>0</v>
      </c>
      <c r="K13" s="4" t="inlineStr">
        <is>
          <t>Vacant</t>
        </is>
      </c>
      <c r="L13" s="4" t="inlineStr">
        <is>
          <t>No</t>
        </is>
      </c>
      <c r="M13" s="4" t="inlineStr">
        <is>
          <t>Vacant since Dec 2025</t>
        </is>
      </c>
    </row>
    <row r="14">
      <c r="A14" s="2" t="inlineStr">
        <is>
          <t>207</t>
        </is>
      </c>
      <c r="B14" s="2" t="inlineStr">
        <is>
          <t>2BR/1BA</t>
        </is>
      </c>
      <c r="C14" s="2" t="n">
        <v>850</v>
      </c>
      <c r="D14" s="2" t="inlineStr">
        <is>
          <t>Anthony Williams</t>
        </is>
      </c>
      <c r="E14" s="2" t="inlineStr">
        <is>
          <t>2024-07-01</t>
        </is>
      </c>
      <c r="F14" s="2" t="inlineStr">
        <is>
          <t>MTM</t>
        </is>
      </c>
      <c r="G14" s="3" t="n">
        <v>1200</v>
      </c>
      <c r="H14" s="3" t="n">
        <v>1450</v>
      </c>
      <c r="I14" s="3">
        <f>H14-G14</f>
        <v/>
      </c>
      <c r="J14" s="3" t="n">
        <v>1200</v>
      </c>
      <c r="K14" s="2" t="inlineStr">
        <is>
          <t>Occupied</t>
        </is>
      </c>
      <c r="L14" s="2" t="inlineStr">
        <is>
          <t>Yes - 30 days</t>
        </is>
      </c>
      <c r="M14" s="2" t="inlineStr">
        <is>
          <t>Delinquent - 30 days past due</t>
        </is>
      </c>
    </row>
    <row r="15">
      <c r="A15" s="2" t="inlineStr">
        <is>
          <t>208</t>
        </is>
      </c>
      <c r="B15" s="2" t="inlineStr">
        <is>
          <t>2BR/1BA</t>
        </is>
      </c>
      <c r="C15" s="2" t="n">
        <v>850</v>
      </c>
      <c r="D15" s="2" t="inlineStr">
        <is>
          <t>Jennifer Davis</t>
        </is>
      </c>
      <c r="E15" s="2" t="inlineStr">
        <is>
          <t>2025-08-01</t>
        </is>
      </c>
      <c r="F15" s="2" t="inlineStr">
        <is>
          <t>2026-07-31</t>
        </is>
      </c>
      <c r="G15" s="3" t="n">
        <v>1400</v>
      </c>
      <c r="H15" s="3" t="n">
        <v>1450</v>
      </c>
      <c r="I15" s="3">
        <f>H15-G15</f>
        <v/>
      </c>
      <c r="J15" s="3" t="n">
        <v>1400</v>
      </c>
      <c r="K15" s="2" t="inlineStr">
        <is>
          <t>Occupied</t>
        </is>
      </c>
      <c r="L15" s="2" t="inlineStr">
        <is>
          <t>No</t>
        </is>
      </c>
      <c r="M15" s="2" t="inlineStr"/>
    </row>
    <row r="16">
      <c r="A16" s="2" t="inlineStr">
        <is>
          <t>301</t>
        </is>
      </c>
      <c r="B16" s="2" t="inlineStr">
        <is>
          <t>3BR/2BA</t>
        </is>
      </c>
      <c r="C16" s="2" t="n">
        <v>1100</v>
      </c>
      <c r="D16" s="2" t="inlineStr">
        <is>
          <t>The Nguyen Family</t>
        </is>
      </c>
      <c r="E16" s="2" t="inlineStr">
        <is>
          <t>2025-11-01</t>
        </is>
      </c>
      <c r="F16" s="2" t="inlineStr">
        <is>
          <t>2026-10-31</t>
        </is>
      </c>
      <c r="G16" s="3" t="n">
        <v>1650</v>
      </c>
      <c r="H16" s="3" t="n">
        <v>1750</v>
      </c>
      <c r="I16" s="3">
        <f>H16-G16</f>
        <v/>
      </c>
      <c r="J16" s="3" t="n">
        <v>1650</v>
      </c>
      <c r="K16" s="2" t="inlineStr">
        <is>
          <t>Occupied</t>
        </is>
      </c>
      <c r="L16" s="2" t="inlineStr">
        <is>
          <t>No</t>
        </is>
      </c>
      <c r="M16" s="2" t="inlineStr"/>
    </row>
    <row r="17">
      <c r="A17" s="2" t="inlineStr">
        <is>
          <t>302</t>
        </is>
      </c>
      <c r="B17" s="2" t="inlineStr">
        <is>
          <t>3BR/2BA</t>
        </is>
      </c>
      <c r="C17" s="2" t="n">
        <v>1100</v>
      </c>
      <c r="D17" s="2" t="inlineStr">
        <is>
          <t>Carlos &amp; Maria Gonzalez</t>
        </is>
      </c>
      <c r="E17" s="2" t="inlineStr">
        <is>
          <t>2026-04-01</t>
        </is>
      </c>
      <c r="F17" s="2" t="inlineStr">
        <is>
          <t>2027-03-31</t>
        </is>
      </c>
      <c r="G17" s="3" t="n">
        <v>1700</v>
      </c>
      <c r="H17" s="3" t="n">
        <v>1750</v>
      </c>
      <c r="I17" s="3">
        <f>H17-G17</f>
        <v/>
      </c>
      <c r="J17" s="3" t="n">
        <v>1700</v>
      </c>
      <c r="K17" s="2" t="inlineStr">
        <is>
          <t>Occupied</t>
        </is>
      </c>
      <c r="L17" s="2" t="inlineStr">
        <is>
          <t>No</t>
        </is>
      </c>
      <c r="M17" s="2" t="inlineStr"/>
    </row>
    <row r="18">
      <c r="A18" s="2" t="inlineStr">
        <is>
          <t>303</t>
        </is>
      </c>
      <c r="B18" s="2" t="inlineStr">
        <is>
          <t>3BR/2BA</t>
        </is>
      </c>
      <c r="C18" s="2" t="n">
        <v>1100</v>
      </c>
      <c r="D18" s="2" t="inlineStr">
        <is>
          <t>Derek Thompson</t>
        </is>
      </c>
      <c r="E18" s="2" t="inlineStr">
        <is>
          <t>2024-05-01</t>
        </is>
      </c>
      <c r="F18" s="2" t="inlineStr">
        <is>
          <t>MTM</t>
        </is>
      </c>
      <c r="G18" s="3" t="n">
        <v>1550</v>
      </c>
      <c r="H18" s="3" t="n">
        <v>1750</v>
      </c>
      <c r="I18" s="3">
        <f>H18-G18</f>
        <v/>
      </c>
      <c r="J18" s="3" t="n">
        <v>1550</v>
      </c>
      <c r="K18" s="2" t="inlineStr">
        <is>
          <t>Occupied</t>
        </is>
      </c>
      <c r="L18" s="2" t="inlineStr">
        <is>
          <t>No</t>
        </is>
      </c>
      <c r="M18" s="2" t="inlineStr"/>
    </row>
    <row r="19">
      <c r="A19" s="2" t="inlineStr">
        <is>
          <t>304</t>
        </is>
      </c>
      <c r="B19" s="2" t="inlineStr">
        <is>
          <t>3BR/2BA</t>
        </is>
      </c>
      <c r="C19" s="2" t="n">
        <v>1100</v>
      </c>
      <c r="D19" s="2" t="inlineStr">
        <is>
          <t>Amanda Foster</t>
        </is>
      </c>
      <c r="E19" s="2" t="inlineStr">
        <is>
          <t>2025-07-01</t>
        </is>
      </c>
      <c r="F19" s="2" t="inlineStr">
        <is>
          <t>2026-06-30</t>
        </is>
      </c>
      <c r="G19" s="3" t="n">
        <v>1600</v>
      </c>
      <c r="H19" s="3" t="n">
        <v>1750</v>
      </c>
      <c r="I19" s="3">
        <f>H19-G19</f>
        <v/>
      </c>
      <c r="J19" s="3" t="n">
        <v>1600</v>
      </c>
      <c r="K19" s="2" t="inlineStr">
        <is>
          <t>Occupied</t>
        </is>
      </c>
      <c r="L19" s="2" t="inlineStr">
        <is>
          <t>No</t>
        </is>
      </c>
      <c r="M19" s="2" t="inlineStr"/>
    </row>
  </sheetData>
  <autoFilter ref="A1:M1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Unit #</t>
        </is>
      </c>
      <c r="B1" s="1" t="inlineStr">
        <is>
          <t>Mar 2025</t>
        </is>
      </c>
      <c r="C1" s="1" t="inlineStr">
        <is>
          <t>Apr 2025</t>
        </is>
      </c>
      <c r="D1" s="1" t="inlineStr">
        <is>
          <t>May 2025</t>
        </is>
      </c>
      <c r="E1" s="1" t="inlineStr">
        <is>
          <t>Jun 2025</t>
        </is>
      </c>
      <c r="F1" s="1" t="inlineStr">
        <is>
          <t>Jul 2025</t>
        </is>
      </c>
      <c r="G1" s="1" t="inlineStr">
        <is>
          <t>Aug 2025</t>
        </is>
      </c>
      <c r="H1" s="1" t="inlineStr">
        <is>
          <t>Sep 2025</t>
        </is>
      </c>
      <c r="I1" s="1" t="inlineStr">
        <is>
          <t>Oct 2025</t>
        </is>
      </c>
      <c r="J1" s="1" t="inlineStr">
        <is>
          <t>Nov 2025</t>
        </is>
      </c>
      <c r="K1" s="1" t="inlineStr">
        <is>
          <t>Dec 2025</t>
        </is>
      </c>
      <c r="L1" s="1" t="inlineStr">
        <is>
          <t>Jan 2026</t>
        </is>
      </c>
      <c r="M1" s="1" t="inlineStr">
        <is>
          <t>Feb 2026</t>
        </is>
      </c>
    </row>
    <row r="2">
      <c r="A2" s="6" t="inlineStr">
        <is>
          <t>101</t>
        </is>
      </c>
      <c r="B2" s="7" t="n">
        <v>1050</v>
      </c>
      <c r="C2" s="7" t="n">
        <v>1050</v>
      </c>
      <c r="D2" s="7" t="n">
        <v>1050</v>
      </c>
      <c r="E2" s="7" t="n">
        <v>1050</v>
      </c>
      <c r="F2" s="7" t="n">
        <v>1050</v>
      </c>
      <c r="G2" s="7" t="n">
        <v>1050</v>
      </c>
      <c r="H2" s="7" t="n">
        <v>1050</v>
      </c>
      <c r="I2" s="7" t="n">
        <v>1050</v>
      </c>
      <c r="J2" s="7" t="n">
        <v>1050</v>
      </c>
      <c r="K2" s="7" t="n">
        <v>1050</v>
      </c>
      <c r="L2" s="7" t="n">
        <v>1050</v>
      </c>
      <c r="M2" s="7" t="n">
        <v>1050</v>
      </c>
    </row>
    <row r="3">
      <c r="A3" s="6" t="inlineStr">
        <is>
          <t>102</t>
        </is>
      </c>
      <c r="B3" s="7" t="n">
        <v>1100</v>
      </c>
      <c r="C3" s="7" t="n">
        <v>1100</v>
      </c>
      <c r="D3" s="7" t="n">
        <v>1100</v>
      </c>
      <c r="E3" s="7" t="n">
        <v>1100</v>
      </c>
      <c r="F3" s="7" t="n">
        <v>1100</v>
      </c>
      <c r="G3" s="7" t="n">
        <v>1100</v>
      </c>
      <c r="H3" s="7" t="n">
        <v>1100</v>
      </c>
      <c r="I3" s="7" t="n">
        <v>1100</v>
      </c>
      <c r="J3" s="7" t="n">
        <v>1100</v>
      </c>
      <c r="K3" s="7" t="n">
        <v>1100</v>
      </c>
      <c r="L3" s="7" t="n">
        <v>1100</v>
      </c>
      <c r="M3" s="7" t="n">
        <v>1100</v>
      </c>
    </row>
    <row r="4">
      <c r="A4" s="6" t="inlineStr">
        <is>
          <t>103</t>
        </is>
      </c>
      <c r="B4" s="7" t="n">
        <v>950</v>
      </c>
      <c r="C4" s="7" t="n">
        <v>950</v>
      </c>
      <c r="D4" s="7" t="n">
        <v>950</v>
      </c>
      <c r="E4" s="7" t="n">
        <v>950</v>
      </c>
      <c r="F4" s="7" t="n">
        <v>950</v>
      </c>
      <c r="G4" s="7" t="n">
        <v>950</v>
      </c>
      <c r="H4" s="7" t="n">
        <v>950</v>
      </c>
      <c r="I4" s="7" t="n">
        <v>950</v>
      </c>
      <c r="J4" s="7" t="n">
        <v>950</v>
      </c>
      <c r="K4" s="7" t="n">
        <v>950</v>
      </c>
      <c r="L4" s="7" t="n">
        <v>0</v>
      </c>
      <c r="M4" s="7" t="n">
        <v>0</v>
      </c>
    </row>
    <row r="5">
      <c r="A5" s="6" t="inlineStr">
        <is>
          <t>104</t>
        </is>
      </c>
      <c r="B5" s="7" t="n">
        <v>1150</v>
      </c>
      <c r="C5" s="7" t="n">
        <v>1150</v>
      </c>
      <c r="D5" s="7" t="n">
        <v>1150</v>
      </c>
      <c r="E5" s="7" t="n">
        <v>1150</v>
      </c>
      <c r="F5" s="7" t="n">
        <v>1150</v>
      </c>
      <c r="G5" s="7" t="n">
        <v>1150</v>
      </c>
      <c r="H5" s="7" t="n">
        <v>1150</v>
      </c>
      <c r="I5" s="7" t="n">
        <v>1150</v>
      </c>
      <c r="J5" s="7" t="n">
        <v>1150</v>
      </c>
      <c r="K5" s="7" t="n">
        <v>1150</v>
      </c>
      <c r="L5" s="7" t="n">
        <v>1150</v>
      </c>
      <c r="M5" s="7" t="n">
        <v>1150</v>
      </c>
    </row>
    <row r="6">
      <c r="A6" s="4" t="inlineStr">
        <is>
          <t>105</t>
        </is>
      </c>
      <c r="B6" s="5" t="n">
        <v>1050</v>
      </c>
      <c r="C6" s="5" t="n">
        <v>1050</v>
      </c>
      <c r="D6" s="5" t="n">
        <v>1050</v>
      </c>
      <c r="E6" s="5" t="n">
        <v>1050</v>
      </c>
      <c r="F6" s="5" t="n">
        <v>1050</v>
      </c>
      <c r="G6" s="5" t="n">
        <v>1050</v>
      </c>
      <c r="H6" s="5" t="n">
        <v>1050</v>
      </c>
      <c r="I6" s="5" t="n">
        <v>1050</v>
      </c>
      <c r="J6" s="5" t="n">
        <v>1050</v>
      </c>
      <c r="K6" s="5" t="n">
        <v>1050</v>
      </c>
      <c r="L6" s="5" t="n">
        <v>0</v>
      </c>
      <c r="M6" s="5" t="n">
        <v>0</v>
      </c>
    </row>
    <row r="7">
      <c r="A7" s="6" t="inlineStr">
        <is>
          <t>106</t>
        </is>
      </c>
      <c r="B7" s="7" t="n">
        <v>1000</v>
      </c>
      <c r="C7" s="7" t="n">
        <v>1000</v>
      </c>
      <c r="D7" s="7" t="n">
        <v>1000</v>
      </c>
      <c r="E7" s="7" t="n">
        <v>1000</v>
      </c>
      <c r="F7" s="7" t="n">
        <v>1000</v>
      </c>
      <c r="G7" s="7" t="n">
        <v>1000</v>
      </c>
      <c r="H7" s="7" t="n">
        <v>1000</v>
      </c>
      <c r="I7" s="7" t="n">
        <v>1000</v>
      </c>
      <c r="J7" s="7" t="n">
        <v>1000</v>
      </c>
      <c r="K7" s="7" t="n">
        <v>1000</v>
      </c>
      <c r="L7" s="7" t="n">
        <v>1000</v>
      </c>
      <c r="M7" s="7" t="n">
        <v>1000</v>
      </c>
    </row>
    <row r="8">
      <c r="A8" s="6" t="inlineStr">
        <is>
          <t>201</t>
        </is>
      </c>
      <c r="B8" s="7" t="n">
        <v>1350</v>
      </c>
      <c r="C8" s="7" t="n">
        <v>1350</v>
      </c>
      <c r="D8" s="7" t="n">
        <v>1350</v>
      </c>
      <c r="E8" s="7" t="n">
        <v>1350</v>
      </c>
      <c r="F8" s="7" t="n">
        <v>1350</v>
      </c>
      <c r="G8" s="7" t="n">
        <v>1350</v>
      </c>
      <c r="H8" s="7" t="n">
        <v>1350</v>
      </c>
      <c r="I8" s="7" t="n">
        <v>1350</v>
      </c>
      <c r="J8" s="7" t="n">
        <v>1350</v>
      </c>
      <c r="K8" s="7" t="n">
        <v>1350</v>
      </c>
      <c r="L8" s="7" t="n">
        <v>1350</v>
      </c>
      <c r="M8" s="7" t="n">
        <v>1350</v>
      </c>
    </row>
    <row r="9">
      <c r="A9" s="6" t="inlineStr">
        <is>
          <t>202</t>
        </is>
      </c>
      <c r="B9" s="7" t="n">
        <v>1400</v>
      </c>
      <c r="C9" s="7" t="n">
        <v>1400</v>
      </c>
      <c r="D9" s="7" t="n">
        <v>1400</v>
      </c>
      <c r="E9" s="7" t="n">
        <v>1400</v>
      </c>
      <c r="F9" s="7" t="n">
        <v>1400</v>
      </c>
      <c r="G9" s="7" t="n">
        <v>1400</v>
      </c>
      <c r="H9" s="7" t="n">
        <v>1400</v>
      </c>
      <c r="I9" s="7" t="n">
        <v>1400</v>
      </c>
      <c r="J9" s="7" t="n">
        <v>1400</v>
      </c>
      <c r="K9" s="7" t="n">
        <v>1400</v>
      </c>
      <c r="L9" s="7" t="n">
        <v>1400</v>
      </c>
      <c r="M9" s="7" t="n">
        <v>1400</v>
      </c>
    </row>
    <row r="10">
      <c r="A10" s="6" t="inlineStr">
        <is>
          <t>203</t>
        </is>
      </c>
      <c r="B10" s="7" t="n">
        <v>1250</v>
      </c>
      <c r="C10" s="7" t="n">
        <v>1250</v>
      </c>
      <c r="D10" s="7" t="n">
        <v>1250</v>
      </c>
      <c r="E10" s="7" t="n">
        <v>1250</v>
      </c>
      <c r="F10" s="7" t="n">
        <v>1250</v>
      </c>
      <c r="G10" s="7" t="n">
        <v>1250</v>
      </c>
      <c r="H10" s="7" t="n">
        <v>1250</v>
      </c>
      <c r="I10" s="7" t="n">
        <v>1250</v>
      </c>
      <c r="J10" s="7" t="n">
        <v>1250</v>
      </c>
      <c r="K10" s="7" t="n">
        <v>1250</v>
      </c>
      <c r="L10" s="7" t="n">
        <v>1250</v>
      </c>
      <c r="M10" s="7" t="n">
        <v>1250</v>
      </c>
    </row>
    <row r="11">
      <c r="A11" s="6" t="inlineStr">
        <is>
          <t>204</t>
        </is>
      </c>
      <c r="B11" s="7" t="n">
        <v>1300</v>
      </c>
      <c r="C11" s="7" t="n">
        <v>1300</v>
      </c>
      <c r="D11" s="7" t="n">
        <v>1300</v>
      </c>
      <c r="E11" s="7" t="n">
        <v>1300</v>
      </c>
      <c r="F11" s="7" t="n">
        <v>1300</v>
      </c>
      <c r="G11" s="7" t="n">
        <v>1300</v>
      </c>
      <c r="H11" s="7" t="n">
        <v>1300</v>
      </c>
      <c r="I11" s="7" t="n">
        <v>1300</v>
      </c>
      <c r="J11" s="7" t="n">
        <v>1300</v>
      </c>
      <c r="K11" s="7" t="n">
        <v>1300</v>
      </c>
      <c r="L11" s="7" t="n">
        <v>1300</v>
      </c>
      <c r="M11" s="7" t="n">
        <v>1300</v>
      </c>
    </row>
    <row r="12">
      <c r="A12" s="6" t="inlineStr">
        <is>
          <t>205</t>
        </is>
      </c>
      <c r="B12" s="7" t="n">
        <v>1350</v>
      </c>
      <c r="C12" s="7" t="n">
        <v>1350</v>
      </c>
      <c r="D12" s="7" t="n">
        <v>1350</v>
      </c>
      <c r="E12" s="7" t="n">
        <v>1350</v>
      </c>
      <c r="F12" s="7" t="n">
        <v>1350</v>
      </c>
      <c r="G12" s="7" t="n">
        <v>1350</v>
      </c>
      <c r="H12" s="7" t="n">
        <v>1350</v>
      </c>
      <c r="I12" s="7" t="n">
        <v>1350</v>
      </c>
      <c r="J12" s="7" t="n">
        <v>1350</v>
      </c>
      <c r="K12" s="7" t="n">
        <v>1350</v>
      </c>
      <c r="L12" s="7" t="n">
        <v>1350</v>
      </c>
      <c r="M12" s="7" t="n">
        <v>1350</v>
      </c>
    </row>
    <row r="13">
      <c r="A13" s="4" t="inlineStr">
        <is>
          <t>206</t>
        </is>
      </c>
      <c r="B13" s="5" t="n">
        <v>1300</v>
      </c>
      <c r="C13" s="5" t="n">
        <v>1300</v>
      </c>
      <c r="D13" s="5" t="n">
        <v>1300</v>
      </c>
      <c r="E13" s="5" t="n">
        <v>1300</v>
      </c>
      <c r="F13" s="5" t="n">
        <v>1300</v>
      </c>
      <c r="G13" s="5" t="n">
        <v>1300</v>
      </c>
      <c r="H13" s="5" t="n">
        <v>1300</v>
      </c>
      <c r="I13" s="5" t="n">
        <v>1300</v>
      </c>
      <c r="J13" s="5" t="n">
        <v>1300</v>
      </c>
      <c r="K13" s="5" t="n">
        <v>0</v>
      </c>
      <c r="L13" s="5" t="n">
        <v>0</v>
      </c>
      <c r="M13" s="5" t="n">
        <v>0</v>
      </c>
    </row>
    <row r="14">
      <c r="A14" s="6" t="inlineStr">
        <is>
          <t>207</t>
        </is>
      </c>
      <c r="B14" s="7" t="n">
        <v>1200</v>
      </c>
      <c r="C14" s="7" t="n">
        <v>1200</v>
      </c>
      <c r="D14" s="7" t="n">
        <v>1200</v>
      </c>
      <c r="E14" s="7" t="n">
        <v>1200</v>
      </c>
      <c r="F14" s="7" t="n">
        <v>1200</v>
      </c>
      <c r="G14" s="7" t="n">
        <v>1200</v>
      </c>
      <c r="H14" s="7" t="n">
        <v>1200</v>
      </c>
      <c r="I14" s="7" t="n">
        <v>1200</v>
      </c>
      <c r="J14" s="7" t="n">
        <v>1200</v>
      </c>
      <c r="K14" s="7" t="n">
        <v>1200</v>
      </c>
      <c r="L14" s="7" t="n">
        <v>1200</v>
      </c>
      <c r="M14" s="7" t="n">
        <v>0</v>
      </c>
    </row>
    <row r="15">
      <c r="A15" s="6" t="inlineStr">
        <is>
          <t>208</t>
        </is>
      </c>
      <c r="B15" s="7" t="n">
        <v>1400</v>
      </c>
      <c r="C15" s="7" t="n">
        <v>1400</v>
      </c>
      <c r="D15" s="7" t="n">
        <v>1400</v>
      </c>
      <c r="E15" s="7" t="n">
        <v>1400</v>
      </c>
      <c r="F15" s="7" t="n">
        <v>1400</v>
      </c>
      <c r="G15" s="7" t="n">
        <v>1400</v>
      </c>
      <c r="H15" s="7" t="n">
        <v>1400</v>
      </c>
      <c r="I15" s="7" t="n">
        <v>1400</v>
      </c>
      <c r="J15" s="7" t="n">
        <v>1400</v>
      </c>
      <c r="K15" s="7" t="n">
        <v>1400</v>
      </c>
      <c r="L15" s="7" t="n">
        <v>1400</v>
      </c>
      <c r="M15" s="7" t="n">
        <v>1400</v>
      </c>
    </row>
    <row r="16">
      <c r="A16" s="6" t="inlineStr">
        <is>
          <t>301</t>
        </is>
      </c>
      <c r="B16" s="7" t="n">
        <v>1650</v>
      </c>
      <c r="C16" s="7" t="n">
        <v>1650</v>
      </c>
      <c r="D16" s="7" t="n">
        <v>1650</v>
      </c>
      <c r="E16" s="7" t="n">
        <v>1650</v>
      </c>
      <c r="F16" s="7" t="n">
        <v>1650</v>
      </c>
      <c r="G16" s="7" t="n">
        <v>1650</v>
      </c>
      <c r="H16" s="7" t="n">
        <v>1650</v>
      </c>
      <c r="I16" s="7" t="n">
        <v>1650</v>
      </c>
      <c r="J16" s="7" t="n">
        <v>1650</v>
      </c>
      <c r="K16" s="7" t="n">
        <v>1650</v>
      </c>
      <c r="L16" s="7" t="n">
        <v>1650</v>
      </c>
      <c r="M16" s="7" t="n">
        <v>1650</v>
      </c>
    </row>
    <row r="17">
      <c r="A17" s="6" t="inlineStr">
        <is>
          <t>302</t>
        </is>
      </c>
      <c r="B17" s="7" t="n">
        <v>1700</v>
      </c>
      <c r="C17" s="7" t="n">
        <v>1700</v>
      </c>
      <c r="D17" s="7" t="n">
        <v>1700</v>
      </c>
      <c r="E17" s="7" t="n">
        <v>1700</v>
      </c>
      <c r="F17" s="7" t="n">
        <v>1700</v>
      </c>
      <c r="G17" s="7" t="n">
        <v>1700</v>
      </c>
      <c r="H17" s="7" t="n">
        <v>1700</v>
      </c>
      <c r="I17" s="7" t="n">
        <v>1700</v>
      </c>
      <c r="J17" s="7" t="n">
        <v>1700</v>
      </c>
      <c r="K17" s="7" t="n">
        <v>1700</v>
      </c>
      <c r="L17" s="7" t="n">
        <v>1700</v>
      </c>
      <c r="M17" s="7" t="n">
        <v>1700</v>
      </c>
    </row>
    <row r="18">
      <c r="A18" s="6" t="inlineStr">
        <is>
          <t>303</t>
        </is>
      </c>
      <c r="B18" s="7" t="n">
        <v>1550</v>
      </c>
      <c r="C18" s="7" t="n">
        <v>1550</v>
      </c>
      <c r="D18" s="7" t="n">
        <v>1550</v>
      </c>
      <c r="E18" s="7" t="n">
        <v>1550</v>
      </c>
      <c r="F18" s="7" t="n">
        <v>1550</v>
      </c>
      <c r="G18" s="7" t="n">
        <v>1550</v>
      </c>
      <c r="H18" s="7" t="n">
        <v>1550</v>
      </c>
      <c r="I18" s="7" t="n">
        <v>1550</v>
      </c>
      <c r="J18" s="7" t="n">
        <v>1550</v>
      </c>
      <c r="K18" s="7" t="n">
        <v>1550</v>
      </c>
      <c r="L18" s="7" t="n">
        <v>1550</v>
      </c>
      <c r="M18" s="7" t="n">
        <v>1550</v>
      </c>
    </row>
    <row r="19">
      <c r="A19" s="6" t="inlineStr">
        <is>
          <t>304</t>
        </is>
      </c>
      <c r="B19" s="7" t="n">
        <v>1600</v>
      </c>
      <c r="C19" s="7" t="n">
        <v>1600</v>
      </c>
      <c r="D19" s="7" t="n">
        <v>1600</v>
      </c>
      <c r="E19" s="7" t="n">
        <v>1600</v>
      </c>
      <c r="F19" s="7" t="n">
        <v>1600</v>
      </c>
      <c r="G19" s="7" t="n">
        <v>1600</v>
      </c>
      <c r="H19" s="7" t="n">
        <v>1600</v>
      </c>
      <c r="I19" s="7" t="n">
        <v>1600</v>
      </c>
      <c r="J19" s="7" t="n">
        <v>1600</v>
      </c>
      <c r="K19" s="7" t="n">
        <v>1600</v>
      </c>
      <c r="L19" s="7" t="n">
        <v>1600</v>
      </c>
      <c r="M19" s="7" t="n">
        <v>1600</v>
      </c>
    </row>
    <row r="21">
      <c r="A21" s="8" t="inlineStr">
        <is>
          <t>Total Collected</t>
        </is>
      </c>
      <c r="B21" s="9">
        <f>SUM(B2:B19)</f>
        <v/>
      </c>
      <c r="C21" s="9">
        <f>SUM(C2:C19)</f>
        <v/>
      </c>
      <c r="D21" s="9">
        <f>SUM(D2:D19)</f>
        <v/>
      </c>
      <c r="E21" s="9">
        <f>SUM(E2:E19)</f>
        <v/>
      </c>
      <c r="F21" s="9">
        <f>SUM(F2:F19)</f>
        <v/>
      </c>
      <c r="G21" s="9">
        <f>SUM(G2:G19)</f>
        <v/>
      </c>
      <c r="H21" s="9">
        <f>SUM(H2:H19)</f>
        <v/>
      </c>
      <c r="I21" s="9">
        <f>SUM(I2:I19)</f>
        <v/>
      </c>
      <c r="J21" s="9">
        <f>SUM(J2:J19)</f>
        <v/>
      </c>
      <c r="K21" s="9">
        <f>SUM(K2:K19)</f>
        <v/>
      </c>
      <c r="L21" s="9">
        <f>SUM(L2:L19)</f>
        <v/>
      </c>
      <c r="M21" s="9">
        <f>SUM(M2:M19)</f>
        <v/>
      </c>
    </row>
    <row r="22">
      <c r="A22" s="8" t="inlineStr">
        <is>
          <t>Vacancy Loss</t>
        </is>
      </c>
      <c r="B22" s="9">
        <f>25800-B21</f>
        <v/>
      </c>
      <c r="C22" s="9">
        <f>25800-C21</f>
        <v/>
      </c>
      <c r="D22" s="9">
        <f>25800-D21</f>
        <v/>
      </c>
      <c r="E22" s="9">
        <f>25800-E21</f>
        <v/>
      </c>
      <c r="F22" s="9">
        <f>25800-F21</f>
        <v/>
      </c>
      <c r="G22" s="9">
        <f>25800-G21</f>
        <v/>
      </c>
      <c r="H22" s="9">
        <f>25800-H21</f>
        <v/>
      </c>
      <c r="I22" s="9">
        <f>25800-I21</f>
        <v/>
      </c>
      <c r="J22" s="9">
        <f>25800-J21</f>
        <v/>
      </c>
      <c r="K22" s="9">
        <f>25800-K21</f>
        <v/>
      </c>
      <c r="L22" s="9">
        <f>25800-L21</f>
        <v/>
      </c>
      <c r="M22" s="9">
        <f>25800-M21</f>
        <v/>
      </c>
    </row>
    <row r="23">
      <c r="A23" s="8" t="inlineStr">
        <is>
          <t>Delinquency Loss</t>
        </is>
      </c>
      <c r="B23" s="9" t="n">
        <v>0</v>
      </c>
      <c r="C23" s="9" t="n">
        <v>0</v>
      </c>
      <c r="D23" s="9" t="n">
        <v>0</v>
      </c>
      <c r="E23" s="9" t="n">
        <v>0</v>
      </c>
      <c r="F23" s="9" t="n">
        <v>0</v>
      </c>
      <c r="G23" s="9" t="n">
        <v>0</v>
      </c>
      <c r="H23" s="9" t="n">
        <v>0</v>
      </c>
      <c r="I23" s="9" t="n">
        <v>0</v>
      </c>
      <c r="J23" s="9" t="n">
        <v>0</v>
      </c>
      <c r="K23" s="9" t="n">
        <v>0</v>
      </c>
      <c r="L23" s="9" t="n">
        <v>950</v>
      </c>
      <c r="M23" s="9" t="n">
        <v>2150</v>
      </c>
    </row>
  </sheetData>
  <autoFilter ref="A1:M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8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8" t="inlineStr">
        <is>
          <t>Occupancy Rate</t>
        </is>
      </c>
      <c r="B2" s="10">
        <f>COUNTIF('Rent Roll'!K2:K19,"Occupied")/18</f>
        <v/>
      </c>
    </row>
    <row r="3">
      <c r="A3" s="8" t="inlineStr">
        <is>
          <t>Average Rent per Unit (Occupied)</t>
        </is>
      </c>
      <c r="B3" s="7">
        <f>AVERAGEIF('Rent Roll'!K2:K19,"Occupied",'Rent Roll'!G2:G19)</f>
        <v/>
      </c>
    </row>
    <row r="4">
      <c r="A4" s="8" t="inlineStr">
        <is>
          <t>Average Rent per SF (Occupied)</t>
        </is>
      </c>
      <c r="B4" s="11">
        <f>SUMPRODUCT(('Rent Roll'!K2:K19="Occupied")*'Rent Roll'!G2:G19)/SUMPRODUCT(('Rent Roll'!K2:K19="Occupied")*'Rent Roll'!C2:C19)</f>
        <v/>
      </c>
    </row>
    <row r="5">
      <c r="A5" s="8" t="inlineStr">
        <is>
          <t>Total Monthly Income</t>
        </is>
      </c>
      <c r="B5" s="7">
        <f>SUM('Rent Roll'!G2:G19)</f>
        <v/>
      </c>
    </row>
    <row r="6">
      <c r="A6" s="8" t="inlineStr">
        <is>
          <t>Total Annual Income</t>
        </is>
      </c>
      <c r="B6" s="7">
        <f>SUM('Rent Roll'!G2:G19)*12</f>
        <v/>
      </c>
    </row>
    <row r="7">
      <c r="A7" s="8" t="inlineStr">
        <is>
          <t>Below-Market Units</t>
        </is>
      </c>
      <c r="B7" s="12">
        <f>COUNTIF('Rent Roll'!I2:I19,"&gt;"&amp;0)</f>
        <v/>
      </c>
    </row>
    <row r="8">
      <c r="A8" s="8" t="inlineStr">
        <is>
          <t>Total Monthly Upside (to Market)</t>
        </is>
      </c>
      <c r="B8" s="7">
        <f>SUM('Rent Roll'!I2:I19)</f>
        <v/>
      </c>
    </row>
  </sheetData>
  <autoFilter ref="A1:B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2026-02-25T23:18:25Z</dcterms:created>
  <dcterms:modified xmlns:dcterms="http://purl.org/dc/terms/" xmlns:xsi="http://www.w3.org/2001/XMLSchema-instance" xsi:type="dcterms:W3CDTF">2026-02-25T23:18:25Z</dcterms:modified>
</cp:coreProperties>
</file>