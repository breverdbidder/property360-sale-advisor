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nt Roll" sheetId="1" state="visible" r:id="rId3"/>
    <sheet name="Monthly Collections" sheetId="2" state="visible" r:id="rId4"/>
    <sheet name="Summary" sheetId="3" state="visible" r:id="rId5"/>
  </sheets>
  <definedNames>
    <definedName function="false" hidden="true" localSheetId="0" name="_xlnm._FilterDatabase" vbProcedure="false">'Rent Roll'!$A$1:$M$19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<sst xmlns="http://schemas.openxmlformats.org/spreadsheetml/2006/main" count="189" uniqueCount="118">
  <si>
    <t xml:space="preserve">Unit #</t>
  </si>
  <si>
    <t xml:space="preserve">Unit Type</t>
  </si>
  <si>
    <t xml:space="preserve">SF</t>
  </si>
  <si>
    <t xml:space="preserve">Tenant Name</t>
  </si>
  <si>
    <t xml:space="preserve">Lease Start</t>
  </si>
  <si>
    <t xml:space="preserve">Lease Expiration</t>
  </si>
  <si>
    <t xml:space="preserve">Monthly Rent</t>
  </si>
  <si>
    <t xml:space="preserve">Market Rent</t>
  </si>
  <si>
    <t xml:space="preserve">Rent Delta</t>
  </si>
  <si>
    <t xml:space="preserve">Security Deposit</t>
  </si>
  <si>
    <t xml:space="preserve">Status</t>
  </si>
  <si>
    <t xml:space="preserve">Delinquent?</t>
  </si>
  <si>
    <t xml:space="preserve">Notes</t>
  </si>
  <si>
    <t xml:space="preserve">101</t>
  </si>
  <si>
    <t xml:space="preserve">1BR/1BA</t>
  </si>
  <si>
    <t xml:space="preserve">Maria Santos</t>
  </si>
  <si>
    <t xml:space="preserve">2025-09-01</t>
  </si>
  <si>
    <t xml:space="preserve">2026-08-31</t>
  </si>
  <si>
    <t xml:space="preserve">Occupied</t>
  </si>
  <si>
    <t xml:space="preserve">No</t>
  </si>
  <si>
    <t xml:space="preserve">102</t>
  </si>
  <si>
    <t xml:space="preserve">James Wilson</t>
  </si>
  <si>
    <t xml:space="preserve">2025-06-01</t>
  </si>
  <si>
    <t xml:space="preserve">2026-05-31</t>
  </si>
  <si>
    <t xml:space="preserve">103</t>
  </si>
  <si>
    <t xml:space="preserve">Tanya Brown</t>
  </si>
  <si>
    <t xml:space="preserve">2024-03-01</t>
  </si>
  <si>
    <t xml:space="preserve">MTM</t>
  </si>
  <si>
    <t xml:space="preserve">Yes</t>
  </si>
  <si>
    <t xml:space="preserve">60 days delinquent; unit needs turn</t>
  </si>
  <si>
    <t xml:space="preserve">104</t>
  </si>
  <si>
    <t xml:space="preserve">Robert Chen</t>
  </si>
  <si>
    <t xml:space="preserve">2025-12-01</t>
  </si>
  <si>
    <t xml:space="preserve">2026-11-30</t>
  </si>
  <si>
    <t xml:space="preserve">105</t>
  </si>
  <si>
    <t xml:space="preserve">Vacant</t>
  </si>
  <si>
    <t xml:space="preserve">Vacant since Nov 2025</t>
  </si>
  <si>
    <t xml:space="preserve">106</t>
  </si>
  <si>
    <t xml:space="preserve">Lisa Park</t>
  </si>
  <si>
    <t xml:space="preserve">2024-07-01</t>
  </si>
  <si>
    <t xml:space="preserve">201</t>
  </si>
  <si>
    <t xml:space="preserve">2BR/1BA</t>
  </si>
  <si>
    <t xml:space="preserve">David &amp; Ana Rodriguez</t>
  </si>
  <si>
    <t xml:space="preserve">2025-10-01</t>
  </si>
  <si>
    <t xml:space="preserve">2026-09-30</t>
  </si>
  <si>
    <t xml:space="preserve">202</t>
  </si>
  <si>
    <t xml:space="preserve">Michael Turner</t>
  </si>
  <si>
    <t xml:space="preserve">2026-02-01</t>
  </si>
  <si>
    <t xml:space="preserve">2027-01-31</t>
  </si>
  <si>
    <t xml:space="preserve">203</t>
  </si>
  <si>
    <t xml:space="preserve">Sarah Johnson</t>
  </si>
  <si>
    <t xml:space="preserve">2025-05-01</t>
  </si>
  <si>
    <t xml:space="preserve">2026-04-30</t>
  </si>
  <si>
    <t xml:space="preserve">204</t>
  </si>
  <si>
    <t xml:space="preserve">Kevin Lee</t>
  </si>
  <si>
    <t xml:space="preserve">2024-09-01</t>
  </si>
  <si>
    <t xml:space="preserve">205</t>
  </si>
  <si>
    <t xml:space="preserve">Patricia Martinez</t>
  </si>
  <si>
    <t xml:space="preserve">2026-01-01</t>
  </si>
  <si>
    <t xml:space="preserve">2026-12-31</t>
  </si>
  <si>
    <t xml:space="preserve">206</t>
  </si>
  <si>
    <t xml:space="preserve">Vacant since Oct 2025</t>
  </si>
  <si>
    <t xml:space="preserve">207</t>
  </si>
  <si>
    <t xml:space="preserve">Anthony Williams</t>
  </si>
  <si>
    <t xml:space="preserve">2024-06-01</t>
  </si>
  <si>
    <t xml:space="preserve">30 days delinquent</t>
  </si>
  <si>
    <t xml:space="preserve">208</t>
  </si>
  <si>
    <t xml:space="preserve">Jennifer Davis</t>
  </si>
  <si>
    <t xml:space="preserve">2025-08-01</t>
  </si>
  <si>
    <t xml:space="preserve">2026-07-31</t>
  </si>
  <si>
    <t xml:space="preserve">301</t>
  </si>
  <si>
    <t xml:space="preserve">3BR/2BA</t>
  </si>
  <si>
    <t xml:space="preserve">The Nguyen Family</t>
  </si>
  <si>
    <t xml:space="preserve">2025-11-01</t>
  </si>
  <si>
    <t xml:space="preserve">2026-10-31</t>
  </si>
  <si>
    <t xml:space="preserve">302</t>
  </si>
  <si>
    <t xml:space="preserve">Carlos &amp; Maria Gonzalez</t>
  </si>
  <si>
    <t xml:space="preserve">2026-04-01</t>
  </si>
  <si>
    <t xml:space="preserve">2027-03-31</t>
  </si>
  <si>
    <t xml:space="preserve">303</t>
  </si>
  <si>
    <t xml:space="preserve">Derek Thompson</t>
  </si>
  <si>
    <t xml:space="preserve">2024-11-01</t>
  </si>
  <si>
    <t xml:space="preserve">HVAC failing</t>
  </si>
  <si>
    <t xml:space="preserve">304</t>
  </si>
  <si>
    <t xml:space="preserve">Amanda Foster</t>
  </si>
  <si>
    <t xml:space="preserve">2025-07-01</t>
  </si>
  <si>
    <t xml:space="preserve">2026-06-30</t>
  </si>
  <si>
    <t xml:space="preserve">Mar 2025</t>
  </si>
  <si>
    <t xml:space="preserve">Apr 2025</t>
  </si>
  <si>
    <t xml:space="preserve">May 2025</t>
  </si>
  <si>
    <t xml:space="preserve">Jun 2025</t>
  </si>
  <si>
    <t xml:space="preserve">Jul 2025</t>
  </si>
  <si>
    <t xml:space="preserve">Aug 2025</t>
  </si>
  <si>
    <t xml:space="preserve">Sep 2025</t>
  </si>
  <si>
    <t xml:space="preserve">Oct 2025</t>
  </si>
  <si>
    <t xml:space="preserve">Nov 2025</t>
  </si>
  <si>
    <t xml:space="preserve">Dec 2025</t>
  </si>
  <si>
    <t xml:space="preserve">Jan 2026</t>
  </si>
  <si>
    <t xml:space="preserve">Feb 2026</t>
  </si>
  <si>
    <t xml:space="preserve">Total Collected</t>
  </si>
  <si>
    <t xml:space="preserve">Vacancy Loss</t>
  </si>
  <si>
    <t xml:space="preserve">Delinquency Loss</t>
  </si>
  <si>
    <t xml:space="preserve">Palm Bay Palms Apartments — Rent Roll Summary</t>
  </si>
  <si>
    <t xml:space="preserve">Metric</t>
  </si>
  <si>
    <t xml:space="preserve">Value</t>
  </si>
  <si>
    <t xml:space="preserve">Total Units</t>
  </si>
  <si>
    <t xml:space="preserve">Occupied Units</t>
  </si>
  <si>
    <t xml:space="preserve">Vacant Units</t>
  </si>
  <si>
    <t xml:space="preserve">Occupancy Rate</t>
  </si>
  <si>
    <t xml:space="preserve">Total Monthly Rent (Occupied)</t>
  </si>
  <si>
    <t xml:space="preserve">Total Monthly Market Rent</t>
  </si>
  <si>
    <t xml:space="preserve">Average Rent per Occupied Unit</t>
  </si>
  <si>
    <t xml:space="preserve">Average Market Rent per Unit</t>
  </si>
  <si>
    <t xml:space="preserve">Average Rent per SF</t>
  </si>
  <si>
    <t xml:space="preserve">Total Annual Income (Actual)</t>
  </si>
  <si>
    <t xml:space="preserve">Total Annual Income (at Market)</t>
  </si>
  <si>
    <t xml:space="preserve">Annual Upside if Raised to Market</t>
  </si>
  <si>
    <t xml:space="preserve">Below-Market Units Count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</si>
</sst>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0.0%"/>
    <numFmt numFmtId="167" formatCode="\$#,##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color rgb="FF1E3A5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E3A5F"/>
        <bgColor rgb="FF333333"/>
      </patternFill>
    </fill>
    <fill>
      <patternFill patternType="solid">
        <fgColor rgb="FFFFF3E0"/>
        <bgColor rgb="FFFFEBEE"/>
      </patternFill>
    </fill>
    <fill>
      <patternFill patternType="solid">
        <fgColor rgb="FFFFEBEE"/>
        <bgColor rgb="FFFFF3E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E3A5F"/>
          <bgColor rgb="FF000000"/>
        </patternFill>
      </fill>
    </dxf>
    <dxf>
      <fill>
        <patternFill patternType="solid">
          <fgColor rgb="FFFFEBE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3E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3E0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E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E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0"/>
    <col collapsed="false" customWidth="true" hidden="false" outlineLevel="0" max="3" min="3" style="1" width="6"/>
    <col collapsed="false" customWidth="true" hidden="false" outlineLevel="0" max="4" min="4" style="1" width="25"/>
    <col collapsed="false" customWidth="true" hidden="false" outlineLevel="0" max="5" min="5" style="1" width="12"/>
    <col collapsed="false" customWidth="true" hidden="false" outlineLevel="0" max="6" min="6" style="1" width="15"/>
    <col collapsed="false" customWidth="true" hidden="false" outlineLevel="0" max="8" min="7" style="1" width="12"/>
    <col collapsed="false" customWidth="true" hidden="false" outlineLevel="0" max="9" min="9" style="1" width="10"/>
    <col collapsed="false" customWidth="true" hidden="false" outlineLevel="0" max="10" min="10" style="1" width="14"/>
    <col collapsed="false" customWidth="true" hidden="false" outlineLevel="0" max="11" min="11" style="1" width="10"/>
    <col collapsed="false" customWidth="true" hidden="false" outlineLevel="0" max="12" min="12" style="1" width="12"/>
    <col collapsed="false" customWidth="true" hidden="false" outlineLevel="0" max="13" min="13" style="1" width="25"/>
  </cols>
  <sheetData>
    <row r="1" customFormat="false" ht="23.8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customFormat="false" ht="15" hidden="false" customHeight="false" outlineLevel="0" collapsed="false">
      <c r="A2" s="3" t="s">
        <v>13</v>
      </c>
      <c r="B2" s="3" t="s">
        <v>14</v>
      </c>
      <c r="C2" s="3" t="n">
        <v>650</v>
      </c>
      <c r="D2" s="3" t="s">
        <v>15</v>
      </c>
      <c r="E2" s="3" t="s">
        <v>16</v>
      </c>
      <c r="F2" s="3" t="s">
        <v>17</v>
      </c>
      <c r="G2" s="4" t="n">
        <v>1050</v>
      </c>
      <c r="H2" s="5" t="n">
        <v>1200</v>
      </c>
      <c r="I2" s="4" t="n">
        <f aca="false">H2-G2</f>
        <v>150</v>
      </c>
      <c r="J2" s="5" t="n">
        <v>1050</v>
      </c>
      <c r="K2" s="3" t="s">
        <v>18</v>
      </c>
      <c r="L2" s="3" t="s">
        <v>19</v>
      </c>
      <c r="M2" s="3"/>
    </row>
    <row r="3" customFormat="false" ht="15" hidden="false" customHeight="false" outlineLevel="0" collapsed="false">
      <c r="A3" s="3" t="s">
        <v>20</v>
      </c>
      <c r="B3" s="3" t="s">
        <v>14</v>
      </c>
      <c r="C3" s="3" t="n">
        <v>650</v>
      </c>
      <c r="D3" s="3" t="s">
        <v>21</v>
      </c>
      <c r="E3" s="3" t="s">
        <v>22</v>
      </c>
      <c r="F3" s="3" t="s">
        <v>23</v>
      </c>
      <c r="G3" s="4" t="n">
        <v>1100</v>
      </c>
      <c r="H3" s="5" t="n">
        <v>1200</v>
      </c>
      <c r="I3" s="4" t="n">
        <f aca="false">H3-G3</f>
        <v>100</v>
      </c>
      <c r="J3" s="5" t="n">
        <v>1100</v>
      </c>
      <c r="K3" s="3" t="s">
        <v>18</v>
      </c>
      <c r="L3" s="3" t="s">
        <v>19</v>
      </c>
      <c r="M3" s="3"/>
    </row>
    <row r="4" customFormat="false" ht="15" hidden="false" customHeight="false" outlineLevel="0" collapsed="false">
      <c r="A4" s="3" t="s">
        <v>24</v>
      </c>
      <c r="B4" s="3" t="s">
        <v>14</v>
      </c>
      <c r="C4" s="3" t="n">
        <v>650</v>
      </c>
      <c r="D4" s="3" t="s">
        <v>25</v>
      </c>
      <c r="E4" s="3" t="s">
        <v>26</v>
      </c>
      <c r="F4" s="3" t="s">
        <v>27</v>
      </c>
      <c r="G4" s="4" t="n">
        <v>950</v>
      </c>
      <c r="H4" s="5" t="n">
        <v>1200</v>
      </c>
      <c r="I4" s="4" t="n">
        <f aca="false">H4-G4</f>
        <v>250</v>
      </c>
      <c r="J4" s="5" t="n">
        <v>950</v>
      </c>
      <c r="K4" s="3" t="s">
        <v>18</v>
      </c>
      <c r="L4" s="3" t="s">
        <v>28</v>
      </c>
      <c r="M4" s="3" t="s">
        <v>29</v>
      </c>
    </row>
    <row r="5" customFormat="false" ht="15" hidden="false" customHeight="false" outlineLevel="0" collapsed="false">
      <c r="A5" s="3" t="s">
        <v>30</v>
      </c>
      <c r="B5" s="3" t="s">
        <v>14</v>
      </c>
      <c r="C5" s="3" t="n">
        <v>650</v>
      </c>
      <c r="D5" s="3" t="s">
        <v>31</v>
      </c>
      <c r="E5" s="3" t="s">
        <v>32</v>
      </c>
      <c r="F5" s="3" t="s">
        <v>33</v>
      </c>
      <c r="G5" s="4" t="n">
        <v>1150</v>
      </c>
      <c r="H5" s="5" t="n">
        <v>1200</v>
      </c>
      <c r="I5" s="4" t="n">
        <f aca="false">H5-G5</f>
        <v>50</v>
      </c>
      <c r="J5" s="5" t="n">
        <v>1150</v>
      </c>
      <c r="K5" s="3" t="s">
        <v>18</v>
      </c>
      <c r="L5" s="3" t="s">
        <v>19</v>
      </c>
      <c r="M5" s="3"/>
    </row>
    <row r="6" customFormat="false" ht="15" hidden="false" customHeight="false" outlineLevel="0" collapsed="false">
      <c r="A6" s="6" t="s">
        <v>34</v>
      </c>
      <c r="B6" s="6" t="s">
        <v>14</v>
      </c>
      <c r="C6" s="6" t="n">
        <v>650</v>
      </c>
      <c r="D6" s="6"/>
      <c r="E6" s="6"/>
      <c r="F6" s="6"/>
      <c r="G6" s="7" t="n">
        <v>0</v>
      </c>
      <c r="H6" s="7" t="n">
        <v>1200</v>
      </c>
      <c r="I6" s="7" t="n">
        <f aca="false">H6-G6</f>
        <v>1200</v>
      </c>
      <c r="J6" s="7" t="n">
        <v>0</v>
      </c>
      <c r="K6" s="6" t="s">
        <v>35</v>
      </c>
      <c r="L6" s="6" t="s">
        <v>19</v>
      </c>
      <c r="M6" s="6" t="s">
        <v>36</v>
      </c>
    </row>
    <row r="7" customFormat="false" ht="15" hidden="false" customHeight="false" outlineLevel="0" collapsed="false">
      <c r="A7" s="3" t="s">
        <v>37</v>
      </c>
      <c r="B7" s="3" t="s">
        <v>14</v>
      </c>
      <c r="C7" s="3" t="n">
        <v>650</v>
      </c>
      <c r="D7" s="3" t="s">
        <v>38</v>
      </c>
      <c r="E7" s="3" t="s">
        <v>39</v>
      </c>
      <c r="F7" s="3" t="s">
        <v>27</v>
      </c>
      <c r="G7" s="4" t="n">
        <v>1000</v>
      </c>
      <c r="H7" s="5" t="n">
        <v>1200</v>
      </c>
      <c r="I7" s="4" t="n">
        <f aca="false">H7-G7</f>
        <v>200</v>
      </c>
      <c r="J7" s="5" t="n">
        <v>1000</v>
      </c>
      <c r="K7" s="3" t="s">
        <v>18</v>
      </c>
      <c r="L7" s="3" t="s">
        <v>19</v>
      </c>
      <c r="M7" s="3"/>
    </row>
    <row r="8" customFormat="false" ht="15" hidden="false" customHeight="false" outlineLevel="0" collapsed="false">
      <c r="A8" s="3" t="s">
        <v>40</v>
      </c>
      <c r="B8" s="3" t="s">
        <v>41</v>
      </c>
      <c r="C8" s="3" t="n">
        <v>850</v>
      </c>
      <c r="D8" s="3" t="s">
        <v>42</v>
      </c>
      <c r="E8" s="3" t="s">
        <v>43</v>
      </c>
      <c r="F8" s="3" t="s">
        <v>44</v>
      </c>
      <c r="G8" s="4" t="n">
        <v>1350</v>
      </c>
      <c r="H8" s="5" t="n">
        <v>1450</v>
      </c>
      <c r="I8" s="4" t="n">
        <f aca="false">H8-G8</f>
        <v>100</v>
      </c>
      <c r="J8" s="5" t="n">
        <v>1350</v>
      </c>
      <c r="K8" s="3" t="s">
        <v>18</v>
      </c>
      <c r="L8" s="3" t="s">
        <v>19</v>
      </c>
      <c r="M8" s="3"/>
    </row>
    <row r="9" customFormat="false" ht="15" hidden="false" customHeight="false" outlineLevel="0" collapsed="false">
      <c r="A9" s="3" t="s">
        <v>45</v>
      </c>
      <c r="B9" s="3" t="s">
        <v>41</v>
      </c>
      <c r="C9" s="3" t="n">
        <v>850</v>
      </c>
      <c r="D9" s="3" t="s">
        <v>46</v>
      </c>
      <c r="E9" s="3" t="s">
        <v>47</v>
      </c>
      <c r="F9" s="3" t="s">
        <v>48</v>
      </c>
      <c r="G9" s="4" t="n">
        <v>1400</v>
      </c>
      <c r="H9" s="5" t="n">
        <v>1450</v>
      </c>
      <c r="I9" s="4" t="n">
        <f aca="false">H9-G9</f>
        <v>50</v>
      </c>
      <c r="J9" s="5" t="n">
        <v>1400</v>
      </c>
      <c r="K9" s="3" t="s">
        <v>18</v>
      </c>
      <c r="L9" s="3" t="s">
        <v>19</v>
      </c>
      <c r="M9" s="3"/>
    </row>
    <row r="10" customFormat="false" ht="15" hidden="false" customHeight="false" outlineLevel="0" collapsed="false">
      <c r="A10" s="3" t="s">
        <v>49</v>
      </c>
      <c r="B10" s="3" t="s">
        <v>41</v>
      </c>
      <c r="C10" s="3" t="n">
        <v>850</v>
      </c>
      <c r="D10" s="3" t="s">
        <v>50</v>
      </c>
      <c r="E10" s="3" t="s">
        <v>51</v>
      </c>
      <c r="F10" s="3" t="s">
        <v>52</v>
      </c>
      <c r="G10" s="4" t="n">
        <v>1250</v>
      </c>
      <c r="H10" s="5" t="n">
        <v>1450</v>
      </c>
      <c r="I10" s="4" t="n">
        <f aca="false">H10-G10</f>
        <v>200</v>
      </c>
      <c r="J10" s="5" t="n">
        <v>1250</v>
      </c>
      <c r="K10" s="3" t="s">
        <v>18</v>
      </c>
      <c r="L10" s="3" t="s">
        <v>19</v>
      </c>
      <c r="M10" s="3"/>
    </row>
    <row r="11" customFormat="false" ht="15" hidden="false" customHeight="false" outlineLevel="0" collapsed="false">
      <c r="A11" s="3" t="s">
        <v>53</v>
      </c>
      <c r="B11" s="3" t="s">
        <v>41</v>
      </c>
      <c r="C11" s="3" t="n">
        <v>850</v>
      </c>
      <c r="D11" s="3" t="s">
        <v>54</v>
      </c>
      <c r="E11" s="3" t="s">
        <v>55</v>
      </c>
      <c r="F11" s="3" t="s">
        <v>27</v>
      </c>
      <c r="G11" s="4" t="n">
        <v>1300</v>
      </c>
      <c r="H11" s="5" t="n">
        <v>1450</v>
      </c>
      <c r="I11" s="4" t="n">
        <f aca="false">H11-G11</f>
        <v>150</v>
      </c>
      <c r="J11" s="5" t="n">
        <v>1300</v>
      </c>
      <c r="K11" s="3" t="s">
        <v>18</v>
      </c>
      <c r="L11" s="3" t="s">
        <v>19</v>
      </c>
      <c r="M11" s="3"/>
    </row>
    <row r="12" customFormat="false" ht="15" hidden="false" customHeight="false" outlineLevel="0" collapsed="false">
      <c r="A12" s="3" t="s">
        <v>56</v>
      </c>
      <c r="B12" s="3" t="s">
        <v>41</v>
      </c>
      <c r="C12" s="3" t="n">
        <v>850</v>
      </c>
      <c r="D12" s="3" t="s">
        <v>57</v>
      </c>
      <c r="E12" s="3" t="s">
        <v>58</v>
      </c>
      <c r="F12" s="3" t="s">
        <v>59</v>
      </c>
      <c r="G12" s="4" t="n">
        <v>1350</v>
      </c>
      <c r="H12" s="5" t="n">
        <v>1450</v>
      </c>
      <c r="I12" s="4" t="n">
        <f aca="false">H12-G12</f>
        <v>100</v>
      </c>
      <c r="J12" s="5" t="n">
        <v>1350</v>
      </c>
      <c r="K12" s="3" t="s">
        <v>18</v>
      </c>
      <c r="L12" s="3" t="s">
        <v>19</v>
      </c>
      <c r="M12" s="3"/>
    </row>
    <row r="13" customFormat="false" ht="15" hidden="false" customHeight="false" outlineLevel="0" collapsed="false">
      <c r="A13" s="6" t="s">
        <v>60</v>
      </c>
      <c r="B13" s="6" t="s">
        <v>41</v>
      </c>
      <c r="C13" s="6" t="n">
        <v>850</v>
      </c>
      <c r="D13" s="6"/>
      <c r="E13" s="6"/>
      <c r="F13" s="6"/>
      <c r="G13" s="7" t="n">
        <v>0</v>
      </c>
      <c r="H13" s="7" t="n">
        <v>1450</v>
      </c>
      <c r="I13" s="7" t="n">
        <f aca="false">H13-G13</f>
        <v>1450</v>
      </c>
      <c r="J13" s="7" t="n">
        <v>0</v>
      </c>
      <c r="K13" s="6" t="s">
        <v>35</v>
      </c>
      <c r="L13" s="6" t="s">
        <v>19</v>
      </c>
      <c r="M13" s="6" t="s">
        <v>61</v>
      </c>
    </row>
    <row r="14" customFormat="false" ht="15" hidden="false" customHeight="false" outlineLevel="0" collapsed="false">
      <c r="A14" s="3" t="s">
        <v>62</v>
      </c>
      <c r="B14" s="3" t="s">
        <v>41</v>
      </c>
      <c r="C14" s="3" t="n">
        <v>850</v>
      </c>
      <c r="D14" s="3" t="s">
        <v>63</v>
      </c>
      <c r="E14" s="3" t="s">
        <v>64</v>
      </c>
      <c r="F14" s="3" t="s">
        <v>27</v>
      </c>
      <c r="G14" s="4" t="n">
        <v>1200</v>
      </c>
      <c r="H14" s="5" t="n">
        <v>1450</v>
      </c>
      <c r="I14" s="4" t="n">
        <f aca="false">H14-G14</f>
        <v>250</v>
      </c>
      <c r="J14" s="5" t="n">
        <v>1200</v>
      </c>
      <c r="K14" s="3" t="s">
        <v>18</v>
      </c>
      <c r="L14" s="3" t="s">
        <v>28</v>
      </c>
      <c r="M14" s="3" t="s">
        <v>65</v>
      </c>
    </row>
    <row r="15" customFormat="false" ht="15" hidden="false" customHeight="false" outlineLevel="0" collapsed="false">
      <c r="A15" s="3" t="s">
        <v>66</v>
      </c>
      <c r="B15" s="3" t="s">
        <v>41</v>
      </c>
      <c r="C15" s="3" t="n">
        <v>850</v>
      </c>
      <c r="D15" s="3" t="s">
        <v>67</v>
      </c>
      <c r="E15" s="3" t="s">
        <v>68</v>
      </c>
      <c r="F15" s="3" t="s">
        <v>69</v>
      </c>
      <c r="G15" s="4" t="n">
        <v>1400</v>
      </c>
      <c r="H15" s="5" t="n">
        <v>1450</v>
      </c>
      <c r="I15" s="4" t="n">
        <f aca="false">H15-G15</f>
        <v>50</v>
      </c>
      <c r="J15" s="5" t="n">
        <v>1400</v>
      </c>
      <c r="K15" s="3" t="s">
        <v>18</v>
      </c>
      <c r="L15" s="3" t="s">
        <v>19</v>
      </c>
      <c r="M15" s="3"/>
    </row>
    <row r="16" customFormat="false" ht="15" hidden="false" customHeight="false" outlineLevel="0" collapsed="false">
      <c r="A16" s="3" t="s">
        <v>70</v>
      </c>
      <c r="B16" s="3" t="s">
        <v>71</v>
      </c>
      <c r="C16" s="3" t="n">
        <v>1100</v>
      </c>
      <c r="D16" s="3" t="s">
        <v>72</v>
      </c>
      <c r="E16" s="3" t="s">
        <v>73</v>
      </c>
      <c r="F16" s="3" t="s">
        <v>74</v>
      </c>
      <c r="G16" s="4" t="n">
        <v>1650</v>
      </c>
      <c r="H16" s="5" t="n">
        <v>1750</v>
      </c>
      <c r="I16" s="4" t="n">
        <f aca="false">H16-G16</f>
        <v>100</v>
      </c>
      <c r="J16" s="5" t="n">
        <v>1650</v>
      </c>
      <c r="K16" s="3" t="s">
        <v>18</v>
      </c>
      <c r="L16" s="3" t="s">
        <v>19</v>
      </c>
      <c r="M16" s="3"/>
    </row>
    <row r="17" customFormat="false" ht="15" hidden="false" customHeight="false" outlineLevel="0" collapsed="false">
      <c r="A17" s="3" t="s">
        <v>75</v>
      </c>
      <c r="B17" s="3" t="s">
        <v>71</v>
      </c>
      <c r="C17" s="3" t="n">
        <v>1100</v>
      </c>
      <c r="D17" s="3" t="s">
        <v>76</v>
      </c>
      <c r="E17" s="3" t="s">
        <v>77</v>
      </c>
      <c r="F17" s="3" t="s">
        <v>78</v>
      </c>
      <c r="G17" s="4" t="n">
        <v>1700</v>
      </c>
      <c r="H17" s="5" t="n">
        <v>1750</v>
      </c>
      <c r="I17" s="4" t="n">
        <f aca="false">H17-G17</f>
        <v>50</v>
      </c>
      <c r="J17" s="5" t="n">
        <v>1700</v>
      </c>
      <c r="K17" s="3" t="s">
        <v>18</v>
      </c>
      <c r="L17" s="3" t="s">
        <v>19</v>
      </c>
      <c r="M17" s="3"/>
    </row>
    <row r="18" customFormat="false" ht="15" hidden="false" customHeight="false" outlineLevel="0" collapsed="false">
      <c r="A18" s="3" t="s">
        <v>79</v>
      </c>
      <c r="B18" s="3" t="s">
        <v>71</v>
      </c>
      <c r="C18" s="3" t="n">
        <v>1100</v>
      </c>
      <c r="D18" s="3" t="s">
        <v>80</v>
      </c>
      <c r="E18" s="3" t="s">
        <v>81</v>
      </c>
      <c r="F18" s="3" t="s">
        <v>27</v>
      </c>
      <c r="G18" s="4" t="n">
        <v>1550</v>
      </c>
      <c r="H18" s="5" t="n">
        <v>1750</v>
      </c>
      <c r="I18" s="4" t="n">
        <f aca="false">H18-G18</f>
        <v>200</v>
      </c>
      <c r="J18" s="5" t="n">
        <v>1550</v>
      </c>
      <c r="K18" s="3" t="s">
        <v>18</v>
      </c>
      <c r="L18" s="3" t="s">
        <v>19</v>
      </c>
      <c r="M18" s="3" t="s">
        <v>82</v>
      </c>
    </row>
    <row r="19" customFormat="false" ht="15" hidden="false" customHeight="false" outlineLevel="0" collapsed="false">
      <c r="A19" s="3" t="s">
        <v>83</v>
      </c>
      <c r="B19" s="3" t="s">
        <v>71</v>
      </c>
      <c r="C19" s="3" t="n">
        <v>1100</v>
      </c>
      <c r="D19" s="3" t="s">
        <v>84</v>
      </c>
      <c r="E19" s="3" t="s">
        <v>85</v>
      </c>
      <c r="F19" s="3" t="s">
        <v>86</v>
      </c>
      <c r="G19" s="4" t="n">
        <v>1600</v>
      </c>
      <c r="H19" s="5" t="n">
        <v>1750</v>
      </c>
      <c r="I19" s="4" t="n">
        <f aca="false">H19-G19</f>
        <v>150</v>
      </c>
      <c r="J19" s="5" t="n">
        <v>1600</v>
      </c>
      <c r="K19" s="3" t="s">
        <v>18</v>
      </c>
      <c r="L19" s="3" t="s">
        <v>19</v>
      </c>
      <c r="M19" s="3"/>
    </row>
  </sheetData>
  <autoFilter ref="A1:M1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14" min="2" style="1" width="13"/>
  </cols>
  <sheetData>
    <row r="1" customFormat="false" ht="23.85" hidden="false" customHeight="false" outlineLevel="0" collapsed="false">
      <c r="A1" s="2" t="s">
        <v>0</v>
      </c>
      <c r="B1" s="2" t="s">
        <v>87</v>
      </c>
      <c r="C1" s="2" t="s">
        <v>88</v>
      </c>
      <c r="D1" s="2" t="s">
        <v>89</v>
      </c>
      <c r="E1" s="2" t="s">
        <v>90</v>
      </c>
      <c r="F1" s="2" t="s">
        <v>91</v>
      </c>
      <c r="G1" s="2" t="s">
        <v>92</v>
      </c>
      <c r="H1" s="2" t="s">
        <v>93</v>
      </c>
      <c r="I1" s="2" t="s">
        <v>94</v>
      </c>
      <c r="J1" s="2" t="s">
        <v>95</v>
      </c>
      <c r="K1" s="2" t="s">
        <v>96</v>
      </c>
      <c r="L1" s="2" t="s">
        <v>97</v>
      </c>
      <c r="M1" s="2" t="s">
        <v>98</v>
      </c>
      <c r="N1" s="2" t="s">
        <v>99</v>
      </c>
    </row>
    <row r="2" customFormat="false" ht="15" hidden="false" customHeight="false" outlineLevel="0" collapsed="false">
      <c r="A2" s="3" t="s">
        <v>13</v>
      </c>
      <c r="B2" s="5" t="n">
        <v>1050</v>
      </c>
      <c r="C2" s="5" t="n">
        <v>1050</v>
      </c>
      <c r="D2" s="5" t="n">
        <v>1050</v>
      </c>
      <c r="E2" s="5" t="n">
        <v>1050</v>
      </c>
      <c r="F2" s="5" t="n">
        <v>1050</v>
      </c>
      <c r="G2" s="5" t="n">
        <v>1050</v>
      </c>
      <c r="H2" s="5" t="n">
        <v>1050</v>
      </c>
      <c r="I2" s="5" t="n">
        <v>1050</v>
      </c>
      <c r="J2" s="5" t="n">
        <v>1050</v>
      </c>
      <c r="K2" s="5" t="n">
        <v>1050</v>
      </c>
      <c r="L2" s="5" t="n">
        <v>1050</v>
      </c>
      <c r="M2" s="5" t="n">
        <v>1050</v>
      </c>
      <c r="N2" s="8" t="n">
        <f aca="false">SUM(B2:M2)</f>
        <v>12600</v>
      </c>
    </row>
    <row r="3" customFormat="false" ht="15" hidden="false" customHeight="false" outlineLevel="0" collapsed="false">
      <c r="A3" s="3" t="s">
        <v>20</v>
      </c>
      <c r="B3" s="5" t="n">
        <v>1100</v>
      </c>
      <c r="C3" s="5" t="n">
        <v>1100</v>
      </c>
      <c r="D3" s="5" t="n">
        <v>1100</v>
      </c>
      <c r="E3" s="5" t="n">
        <v>1100</v>
      </c>
      <c r="F3" s="5" t="n">
        <v>1100</v>
      </c>
      <c r="G3" s="5" t="n">
        <v>1100</v>
      </c>
      <c r="H3" s="5" t="n">
        <v>1100</v>
      </c>
      <c r="I3" s="5" t="n">
        <v>1100</v>
      </c>
      <c r="J3" s="5" t="n">
        <v>1100</v>
      </c>
      <c r="K3" s="5" t="n">
        <v>1100</v>
      </c>
      <c r="L3" s="5" t="n">
        <v>1100</v>
      </c>
      <c r="M3" s="5" t="n">
        <v>1100</v>
      </c>
      <c r="N3" s="8" t="n">
        <f aca="false">SUM(B3:M3)</f>
        <v>13200</v>
      </c>
    </row>
    <row r="4" customFormat="false" ht="15" hidden="false" customHeight="false" outlineLevel="0" collapsed="false">
      <c r="A4" s="3" t="s">
        <v>24</v>
      </c>
      <c r="B4" s="5" t="n">
        <v>950</v>
      </c>
      <c r="C4" s="5" t="n">
        <v>950</v>
      </c>
      <c r="D4" s="5" t="n">
        <v>950</v>
      </c>
      <c r="E4" s="5" t="n">
        <v>950</v>
      </c>
      <c r="F4" s="5" t="n">
        <v>950</v>
      </c>
      <c r="G4" s="5" t="n">
        <v>950</v>
      </c>
      <c r="H4" s="5" t="n">
        <v>950</v>
      </c>
      <c r="I4" s="5" t="n">
        <v>950</v>
      </c>
      <c r="J4" s="5" t="n">
        <v>950</v>
      </c>
      <c r="K4" s="5" t="n">
        <v>950</v>
      </c>
      <c r="L4" s="7" t="n">
        <v>0</v>
      </c>
      <c r="M4" s="7" t="n">
        <v>0</v>
      </c>
      <c r="N4" s="8" t="n">
        <f aca="false">SUM(B4:M4)</f>
        <v>9500</v>
      </c>
    </row>
    <row r="5" customFormat="false" ht="15" hidden="false" customHeight="false" outlineLevel="0" collapsed="false">
      <c r="A5" s="3" t="s">
        <v>30</v>
      </c>
      <c r="B5" s="5" t="n">
        <v>1150</v>
      </c>
      <c r="C5" s="5" t="n">
        <v>1150</v>
      </c>
      <c r="D5" s="5" t="n">
        <v>1150</v>
      </c>
      <c r="E5" s="5" t="n">
        <v>1150</v>
      </c>
      <c r="F5" s="5" t="n">
        <v>1150</v>
      </c>
      <c r="G5" s="5" t="n">
        <v>1150</v>
      </c>
      <c r="H5" s="5" t="n">
        <v>1150</v>
      </c>
      <c r="I5" s="5" t="n">
        <v>1150</v>
      </c>
      <c r="J5" s="5" t="n">
        <v>1150</v>
      </c>
      <c r="K5" s="5" t="n">
        <v>1150</v>
      </c>
      <c r="L5" s="5" t="n">
        <v>1150</v>
      </c>
      <c r="M5" s="5" t="n">
        <v>1150</v>
      </c>
      <c r="N5" s="8" t="n">
        <f aca="false">SUM(B5:M5)</f>
        <v>13800</v>
      </c>
    </row>
    <row r="6" customFormat="false" ht="15" hidden="false" customHeight="false" outlineLevel="0" collapsed="false">
      <c r="A6" s="3" t="s">
        <v>34</v>
      </c>
      <c r="B6" s="7" t="n">
        <v>0</v>
      </c>
      <c r="C6" s="7" t="n">
        <v>0</v>
      </c>
      <c r="D6" s="7" t="n">
        <v>0</v>
      </c>
      <c r="E6" s="7" t="n">
        <v>0</v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8" t="n">
        <f aca="false">SUM(B6:M6)</f>
        <v>0</v>
      </c>
    </row>
    <row r="7" customFormat="false" ht="15" hidden="false" customHeight="false" outlineLevel="0" collapsed="false">
      <c r="A7" s="3" t="s">
        <v>37</v>
      </c>
      <c r="B7" s="5" t="n">
        <v>1000</v>
      </c>
      <c r="C7" s="5" t="n">
        <v>1000</v>
      </c>
      <c r="D7" s="5" t="n">
        <v>1000</v>
      </c>
      <c r="E7" s="5" t="n">
        <v>1000</v>
      </c>
      <c r="F7" s="5" t="n">
        <v>1000</v>
      </c>
      <c r="G7" s="5" t="n">
        <v>1000</v>
      </c>
      <c r="H7" s="5" t="n">
        <v>1000</v>
      </c>
      <c r="I7" s="5" t="n">
        <v>1000</v>
      </c>
      <c r="J7" s="5" t="n">
        <v>1000</v>
      </c>
      <c r="K7" s="5" t="n">
        <v>1000</v>
      </c>
      <c r="L7" s="5" t="n">
        <v>1000</v>
      </c>
      <c r="M7" s="5" t="n">
        <v>1000</v>
      </c>
      <c r="N7" s="8" t="n">
        <f aca="false">SUM(B7:M7)</f>
        <v>12000</v>
      </c>
    </row>
    <row r="8" customFormat="false" ht="15" hidden="false" customHeight="false" outlineLevel="0" collapsed="false">
      <c r="A8" s="3" t="s">
        <v>40</v>
      </c>
      <c r="B8" s="5" t="n">
        <v>1350</v>
      </c>
      <c r="C8" s="5" t="n">
        <v>1350</v>
      </c>
      <c r="D8" s="5" t="n">
        <v>1350</v>
      </c>
      <c r="E8" s="5" t="n">
        <v>1350</v>
      </c>
      <c r="F8" s="5" t="n">
        <v>1350</v>
      </c>
      <c r="G8" s="5" t="n">
        <v>1350</v>
      </c>
      <c r="H8" s="5" t="n">
        <v>1350</v>
      </c>
      <c r="I8" s="5" t="n">
        <v>1350</v>
      </c>
      <c r="J8" s="5" t="n">
        <v>1350</v>
      </c>
      <c r="K8" s="5" t="n">
        <v>1350</v>
      </c>
      <c r="L8" s="5" t="n">
        <v>1350</v>
      </c>
      <c r="M8" s="5" t="n">
        <v>1350</v>
      </c>
      <c r="N8" s="8" t="n">
        <f aca="false">SUM(B8:M8)</f>
        <v>16200</v>
      </c>
    </row>
    <row r="9" customFormat="false" ht="15" hidden="false" customHeight="false" outlineLevel="0" collapsed="false">
      <c r="A9" s="3" t="s">
        <v>45</v>
      </c>
      <c r="B9" s="5" t="n">
        <v>1400</v>
      </c>
      <c r="C9" s="5" t="n">
        <v>1400</v>
      </c>
      <c r="D9" s="5" t="n">
        <v>1400</v>
      </c>
      <c r="E9" s="5" t="n">
        <v>1400</v>
      </c>
      <c r="F9" s="5" t="n">
        <v>1400</v>
      </c>
      <c r="G9" s="5" t="n">
        <v>1400</v>
      </c>
      <c r="H9" s="5" t="n">
        <v>1400</v>
      </c>
      <c r="I9" s="5" t="n">
        <v>1400</v>
      </c>
      <c r="J9" s="5" t="n">
        <v>1400</v>
      </c>
      <c r="K9" s="5" t="n">
        <v>1400</v>
      </c>
      <c r="L9" s="5" t="n">
        <v>1400</v>
      </c>
      <c r="M9" s="5" t="n">
        <v>1400</v>
      </c>
      <c r="N9" s="8" t="n">
        <f aca="false">SUM(B9:M9)</f>
        <v>16800</v>
      </c>
    </row>
    <row r="10" customFormat="false" ht="15" hidden="false" customHeight="false" outlineLevel="0" collapsed="false">
      <c r="A10" s="3" t="s">
        <v>49</v>
      </c>
      <c r="B10" s="5" t="n">
        <v>1250</v>
      </c>
      <c r="C10" s="5" t="n">
        <v>1250</v>
      </c>
      <c r="D10" s="5" t="n">
        <v>1250</v>
      </c>
      <c r="E10" s="5" t="n">
        <v>1250</v>
      </c>
      <c r="F10" s="5" t="n">
        <v>1250</v>
      </c>
      <c r="G10" s="5" t="n">
        <v>1250</v>
      </c>
      <c r="H10" s="5" t="n">
        <v>1250</v>
      </c>
      <c r="I10" s="5" t="n">
        <v>1250</v>
      </c>
      <c r="J10" s="5" t="n">
        <v>1250</v>
      </c>
      <c r="K10" s="5" t="n">
        <v>1250</v>
      </c>
      <c r="L10" s="5" t="n">
        <v>1250</v>
      </c>
      <c r="M10" s="5" t="n">
        <v>1250</v>
      </c>
      <c r="N10" s="8" t="n">
        <f aca="false">SUM(B10:M10)</f>
        <v>15000</v>
      </c>
    </row>
    <row r="11" customFormat="false" ht="15" hidden="false" customHeight="false" outlineLevel="0" collapsed="false">
      <c r="A11" s="3" t="s">
        <v>53</v>
      </c>
      <c r="B11" s="5" t="n">
        <v>1300</v>
      </c>
      <c r="C11" s="5" t="n">
        <v>1300</v>
      </c>
      <c r="D11" s="5" t="n">
        <v>1300</v>
      </c>
      <c r="E11" s="5" t="n">
        <v>1300</v>
      </c>
      <c r="F11" s="5" t="n">
        <v>1300</v>
      </c>
      <c r="G11" s="5" t="n">
        <v>1300</v>
      </c>
      <c r="H11" s="5" t="n">
        <v>1300</v>
      </c>
      <c r="I11" s="5" t="n">
        <v>1300</v>
      </c>
      <c r="J11" s="5" t="n">
        <v>1300</v>
      </c>
      <c r="K11" s="5" t="n">
        <v>1300</v>
      </c>
      <c r="L11" s="5" t="n">
        <v>1300</v>
      </c>
      <c r="M11" s="5" t="n">
        <v>1300</v>
      </c>
      <c r="N11" s="8" t="n">
        <f aca="false">SUM(B11:M11)</f>
        <v>15600</v>
      </c>
    </row>
    <row r="12" customFormat="false" ht="15" hidden="false" customHeight="false" outlineLevel="0" collapsed="false">
      <c r="A12" s="3" t="s">
        <v>56</v>
      </c>
      <c r="B12" s="5" t="n">
        <v>1350</v>
      </c>
      <c r="C12" s="5" t="n">
        <v>1350</v>
      </c>
      <c r="D12" s="5" t="n">
        <v>1350</v>
      </c>
      <c r="E12" s="5" t="n">
        <v>1350</v>
      </c>
      <c r="F12" s="5" t="n">
        <v>1350</v>
      </c>
      <c r="G12" s="5" t="n">
        <v>1350</v>
      </c>
      <c r="H12" s="5" t="n">
        <v>1350</v>
      </c>
      <c r="I12" s="5" t="n">
        <v>1350</v>
      </c>
      <c r="J12" s="5" t="n">
        <v>1350</v>
      </c>
      <c r="K12" s="5" t="n">
        <v>1350</v>
      </c>
      <c r="L12" s="5" t="n">
        <v>1350</v>
      </c>
      <c r="M12" s="5" t="n">
        <v>1350</v>
      </c>
      <c r="N12" s="8" t="n">
        <f aca="false">SUM(B12:M12)</f>
        <v>16200</v>
      </c>
    </row>
    <row r="13" customFormat="false" ht="15" hidden="false" customHeight="false" outlineLevel="0" collapsed="false">
      <c r="A13" s="3" t="s">
        <v>60</v>
      </c>
      <c r="B13" s="7" t="n">
        <v>0</v>
      </c>
      <c r="C13" s="7" t="n">
        <v>0</v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8" t="n">
        <f aca="false">SUM(B13:M13)</f>
        <v>0</v>
      </c>
    </row>
    <row r="14" customFormat="false" ht="15" hidden="false" customHeight="false" outlineLevel="0" collapsed="false">
      <c r="A14" s="3" t="s">
        <v>62</v>
      </c>
      <c r="B14" s="5" t="n">
        <v>1200</v>
      </c>
      <c r="C14" s="5" t="n">
        <v>1200</v>
      </c>
      <c r="D14" s="5" t="n">
        <v>1200</v>
      </c>
      <c r="E14" s="5" t="n">
        <v>1200</v>
      </c>
      <c r="F14" s="5" t="n">
        <v>1200</v>
      </c>
      <c r="G14" s="5" t="n">
        <v>1200</v>
      </c>
      <c r="H14" s="5" t="n">
        <v>1200</v>
      </c>
      <c r="I14" s="5" t="n">
        <v>1200</v>
      </c>
      <c r="J14" s="5" t="n">
        <v>1200</v>
      </c>
      <c r="K14" s="5" t="n">
        <v>1200</v>
      </c>
      <c r="L14" s="5" t="n">
        <v>1200</v>
      </c>
      <c r="M14" s="7" t="n">
        <v>0</v>
      </c>
      <c r="N14" s="8" t="n">
        <f aca="false">SUM(B14:M14)</f>
        <v>13200</v>
      </c>
    </row>
    <row r="15" customFormat="false" ht="15" hidden="false" customHeight="false" outlineLevel="0" collapsed="false">
      <c r="A15" s="3" t="s">
        <v>66</v>
      </c>
      <c r="B15" s="5" t="n">
        <v>1400</v>
      </c>
      <c r="C15" s="5" t="n">
        <v>1400</v>
      </c>
      <c r="D15" s="5" t="n">
        <v>1400</v>
      </c>
      <c r="E15" s="5" t="n">
        <v>1400</v>
      </c>
      <c r="F15" s="5" t="n">
        <v>1400</v>
      </c>
      <c r="G15" s="5" t="n">
        <v>1400</v>
      </c>
      <c r="H15" s="5" t="n">
        <v>1400</v>
      </c>
      <c r="I15" s="5" t="n">
        <v>1400</v>
      </c>
      <c r="J15" s="5" t="n">
        <v>1400</v>
      </c>
      <c r="K15" s="5" t="n">
        <v>1400</v>
      </c>
      <c r="L15" s="5" t="n">
        <v>1400</v>
      </c>
      <c r="M15" s="5" t="n">
        <v>1400</v>
      </c>
      <c r="N15" s="8" t="n">
        <f aca="false">SUM(B15:M15)</f>
        <v>16800</v>
      </c>
    </row>
    <row r="16" customFormat="false" ht="15" hidden="false" customHeight="false" outlineLevel="0" collapsed="false">
      <c r="A16" s="3" t="s">
        <v>70</v>
      </c>
      <c r="B16" s="5" t="n">
        <v>1650</v>
      </c>
      <c r="C16" s="5" t="n">
        <v>1650</v>
      </c>
      <c r="D16" s="5" t="n">
        <v>1650</v>
      </c>
      <c r="E16" s="5" t="n">
        <v>1650</v>
      </c>
      <c r="F16" s="5" t="n">
        <v>1650</v>
      </c>
      <c r="G16" s="5" t="n">
        <v>1650</v>
      </c>
      <c r="H16" s="5" t="n">
        <v>1650</v>
      </c>
      <c r="I16" s="5" t="n">
        <v>1650</v>
      </c>
      <c r="J16" s="5" t="n">
        <v>1650</v>
      </c>
      <c r="K16" s="5" t="n">
        <v>1650</v>
      </c>
      <c r="L16" s="5" t="n">
        <v>1650</v>
      </c>
      <c r="M16" s="5" t="n">
        <v>1650</v>
      </c>
      <c r="N16" s="8" t="n">
        <f aca="false">SUM(B16:M16)</f>
        <v>19800</v>
      </c>
    </row>
    <row r="17" customFormat="false" ht="15" hidden="false" customHeight="false" outlineLevel="0" collapsed="false">
      <c r="A17" s="3" t="s">
        <v>75</v>
      </c>
      <c r="B17" s="5" t="n">
        <v>1700</v>
      </c>
      <c r="C17" s="5" t="n">
        <v>1700</v>
      </c>
      <c r="D17" s="5" t="n">
        <v>1700</v>
      </c>
      <c r="E17" s="5" t="n">
        <v>1700</v>
      </c>
      <c r="F17" s="5" t="n">
        <v>1700</v>
      </c>
      <c r="G17" s="5" t="n">
        <v>1700</v>
      </c>
      <c r="H17" s="5" t="n">
        <v>1700</v>
      </c>
      <c r="I17" s="5" t="n">
        <v>1700</v>
      </c>
      <c r="J17" s="5" t="n">
        <v>1700</v>
      </c>
      <c r="K17" s="5" t="n">
        <v>1700</v>
      </c>
      <c r="L17" s="5" t="n">
        <v>1700</v>
      </c>
      <c r="M17" s="5" t="n">
        <v>1700</v>
      </c>
      <c r="N17" s="8" t="n">
        <f aca="false">SUM(B17:M17)</f>
        <v>20400</v>
      </c>
    </row>
    <row r="18" customFormat="false" ht="15" hidden="false" customHeight="false" outlineLevel="0" collapsed="false">
      <c r="A18" s="3" t="s">
        <v>79</v>
      </c>
      <c r="B18" s="5" t="n">
        <v>1550</v>
      </c>
      <c r="C18" s="5" t="n">
        <v>1550</v>
      </c>
      <c r="D18" s="5" t="n">
        <v>1550</v>
      </c>
      <c r="E18" s="5" t="n">
        <v>1550</v>
      </c>
      <c r="F18" s="5" t="n">
        <v>1550</v>
      </c>
      <c r="G18" s="5" t="n">
        <v>1550</v>
      </c>
      <c r="H18" s="5" t="n">
        <v>1550</v>
      </c>
      <c r="I18" s="5" t="n">
        <v>1550</v>
      </c>
      <c r="J18" s="5" t="n">
        <v>1550</v>
      </c>
      <c r="K18" s="5" t="n">
        <v>1550</v>
      </c>
      <c r="L18" s="5" t="n">
        <v>1550</v>
      </c>
      <c r="M18" s="5" t="n">
        <v>1550</v>
      </c>
      <c r="N18" s="8" t="n">
        <f aca="false">SUM(B18:M18)</f>
        <v>18600</v>
      </c>
    </row>
    <row r="19" customFormat="false" ht="15" hidden="false" customHeight="false" outlineLevel="0" collapsed="false">
      <c r="A19" s="3" t="s">
        <v>83</v>
      </c>
      <c r="B19" s="5" t="n">
        <v>1600</v>
      </c>
      <c r="C19" s="5" t="n">
        <v>1600</v>
      </c>
      <c r="D19" s="5" t="n">
        <v>1600</v>
      </c>
      <c r="E19" s="5" t="n">
        <v>1600</v>
      </c>
      <c r="F19" s="5" t="n">
        <v>1600</v>
      </c>
      <c r="G19" s="5" t="n">
        <v>1600</v>
      </c>
      <c r="H19" s="5" t="n">
        <v>1600</v>
      </c>
      <c r="I19" s="5" t="n">
        <v>1600</v>
      </c>
      <c r="J19" s="5" t="n">
        <v>1600</v>
      </c>
      <c r="K19" s="5" t="n">
        <v>1600</v>
      </c>
      <c r="L19" s="5" t="n">
        <v>1600</v>
      </c>
      <c r="M19" s="5" t="n">
        <v>1600</v>
      </c>
      <c r="N19" s="8" t="n">
        <f aca="false">SUM(B19:M19)</f>
        <v>19200</v>
      </c>
    </row>
    <row r="21" customFormat="false" ht="15" hidden="false" customHeight="false" outlineLevel="0" collapsed="false">
      <c r="A21" s="9" t="s">
        <v>99</v>
      </c>
      <c r="B21" s="8" t="n">
        <f aca="false">SUM(B2:B19)</f>
        <v>21000</v>
      </c>
      <c r="C21" s="8" t="n">
        <f aca="false">SUM(C2:C19)</f>
        <v>21000</v>
      </c>
      <c r="D21" s="8" t="n">
        <f aca="false">SUM(D2:D19)</f>
        <v>21000</v>
      </c>
      <c r="E21" s="8" t="n">
        <f aca="false">SUM(E2:E19)</f>
        <v>21000</v>
      </c>
      <c r="F21" s="8" t="n">
        <f aca="false">SUM(F2:F19)</f>
        <v>21000</v>
      </c>
      <c r="G21" s="8" t="n">
        <f aca="false">SUM(G2:G19)</f>
        <v>21000</v>
      </c>
      <c r="H21" s="8" t="n">
        <f aca="false">SUM(H2:H19)</f>
        <v>21000</v>
      </c>
      <c r="I21" s="8" t="n">
        <f aca="false">SUM(I2:I19)</f>
        <v>21000</v>
      </c>
      <c r="J21" s="8" t="n">
        <f aca="false">SUM(J2:J19)</f>
        <v>21000</v>
      </c>
      <c r="K21" s="8" t="n">
        <f aca="false">SUM(K2:K19)</f>
        <v>21000</v>
      </c>
      <c r="L21" s="8" t="n">
        <f aca="false">SUM(L2:L19)</f>
        <v>20050</v>
      </c>
      <c r="M21" s="8" t="n">
        <f aca="false">SUM(M2:M19)</f>
        <v>18850</v>
      </c>
      <c r="N21" s="8" t="n">
        <f aca="false">SUM(N2:N19)</f>
        <v>248900</v>
      </c>
    </row>
    <row r="22" customFormat="false" ht="15" hidden="false" customHeight="false" outlineLevel="0" collapsed="false">
      <c r="A22" s="9" t="s">
        <v>100</v>
      </c>
      <c r="B22" s="8" t="n">
        <f aca="false">SUMPRODUCT((B2:B19=0)*1)*0</f>
        <v>0</v>
      </c>
      <c r="C22" s="8" t="n">
        <f aca="false">SUMPRODUCT((C2:C19=0)*1)*0</f>
        <v>0</v>
      </c>
      <c r="D22" s="8" t="n">
        <f aca="false">SUMPRODUCT((D2:D19=0)*1)*0</f>
        <v>0</v>
      </c>
      <c r="E22" s="8" t="n">
        <f aca="false">SUMPRODUCT((E2:E19=0)*1)*0</f>
        <v>0</v>
      </c>
      <c r="F22" s="8" t="n">
        <f aca="false">SUMPRODUCT((F2:F19=0)*1)*0</f>
        <v>0</v>
      </c>
      <c r="G22" s="8" t="n">
        <f aca="false">SUMPRODUCT((G2:G19=0)*1)*0</f>
        <v>0</v>
      </c>
      <c r="H22" s="8" t="n">
        <f aca="false">SUMPRODUCT((H2:H19=0)*1)*0</f>
        <v>0</v>
      </c>
      <c r="I22" s="8" t="n">
        <f aca="false">SUMPRODUCT((I2:I19=0)*1)*0</f>
        <v>0</v>
      </c>
      <c r="J22" s="8" t="n">
        <f aca="false">SUMPRODUCT((J2:J19=0)*1)*0</f>
        <v>0</v>
      </c>
      <c r="K22" s="8" t="n">
        <f aca="false">SUMPRODUCT((K2:K19=0)*1)*0</f>
        <v>0</v>
      </c>
      <c r="L22" s="8" t="n">
        <f aca="false">SUMPRODUCT((L2:L19=0)*1)*0</f>
        <v>0</v>
      </c>
      <c r="M22" s="8" t="n">
        <f aca="false">SUMPRODUCT((M2:M19=0)*1)*0</f>
        <v>0</v>
      </c>
      <c r="N22" s="8" t="n">
        <f aca="false">SUMPRODUCT((N2:N19=0)*1)*0</f>
        <v>0</v>
      </c>
    </row>
    <row r="23" customFormat="false" ht="15" hidden="false" customHeight="false" outlineLevel="0" collapsed="false">
      <c r="A23" s="9" t="s">
        <v>101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18"/>
  </cols>
  <sheetData>
    <row r="1" customFormat="false" ht="17.35" hidden="false" customHeight="false" outlineLevel="0" collapsed="false">
      <c r="A1" s="10" t="s">
        <v>102</v>
      </c>
      <c r="B1" s="11"/>
    </row>
    <row r="2" customFormat="false" ht="15" hidden="false" customHeight="false" outlineLevel="0" collapsed="false">
      <c r="A2" s="9"/>
      <c r="B2" s="3"/>
    </row>
    <row r="3" customFormat="false" ht="15" hidden="false" customHeight="false" outlineLevel="0" collapsed="false">
      <c r="A3" s="12" t="s">
        <v>103</v>
      </c>
      <c r="B3" s="12" t="s">
        <v>104</v>
      </c>
    </row>
    <row r="4" customFormat="false" ht="15" hidden="false" customHeight="false" outlineLevel="0" collapsed="false">
      <c r="A4" s="9" t="s">
        <v>105</v>
      </c>
      <c r="B4" s="3" t="n">
        <v>18</v>
      </c>
    </row>
    <row r="5" customFormat="false" ht="15" hidden="false" customHeight="false" outlineLevel="0" collapsed="false">
      <c r="A5" s="9" t="s">
        <v>106</v>
      </c>
      <c r="B5" s="3" t="n">
        <v>16</v>
      </c>
    </row>
    <row r="6" customFormat="false" ht="15" hidden="false" customHeight="false" outlineLevel="0" collapsed="false">
      <c r="A6" s="9" t="s">
        <v>107</v>
      </c>
      <c r="B6" s="3" t="n">
        <f aca="false">B4-B5</f>
        <v>2</v>
      </c>
    </row>
    <row r="7" customFormat="false" ht="15" hidden="false" customHeight="false" outlineLevel="0" collapsed="false">
      <c r="A7" s="9" t="s">
        <v>108</v>
      </c>
      <c r="B7" s="13" t="n">
        <f aca="false">B5/B4</f>
        <v>0.888888888888889</v>
      </c>
    </row>
    <row r="8" customFormat="false" ht="15" hidden="false" customHeight="false" outlineLevel="0" collapsed="false">
      <c r="A8" s="9"/>
      <c r="B8" s="3"/>
    </row>
    <row r="9" customFormat="false" ht="15" hidden="false" customHeight="false" outlineLevel="0" collapsed="false">
      <c r="A9" s="9" t="s">
        <v>109</v>
      </c>
      <c r="B9" s="5" t="n">
        <f aca="false">SUM('Rent Roll'!G2:G19)</f>
        <v>21000</v>
      </c>
    </row>
    <row r="10" customFormat="false" ht="15" hidden="false" customHeight="false" outlineLevel="0" collapsed="false">
      <c r="A10" s="9" t="s">
        <v>110</v>
      </c>
      <c r="B10" s="5" t="n">
        <f aca="false">SUM('Rent Roll'!H2:H19)</f>
        <v>25800</v>
      </c>
    </row>
    <row r="11" customFormat="false" ht="15" hidden="false" customHeight="false" outlineLevel="0" collapsed="false">
      <c r="A11" s="9" t="s">
        <v>111</v>
      </c>
      <c r="B11" s="5" t="n">
        <f aca="false">B9/B5</f>
        <v>1312.5</v>
      </c>
    </row>
    <row r="12" customFormat="false" ht="15" hidden="false" customHeight="false" outlineLevel="0" collapsed="false">
      <c r="A12" s="9" t="s">
        <v>112</v>
      </c>
      <c r="B12" s="5" t="n">
        <f aca="false">B10/B4</f>
        <v>1433.33333333333</v>
      </c>
    </row>
    <row r="13" customFormat="false" ht="15" hidden="false" customHeight="false" outlineLevel="0" collapsed="false">
      <c r="A13" s="9" t="s">
        <v>113</v>
      </c>
      <c r="B13" s="14" t="n">
        <f aca="false">B9/SUMPRODUCT(('Rent Roll'!K2:K19="Occupied")*1,'Rent Roll'!C2:C19)</f>
        <v>1.54411764705882</v>
      </c>
    </row>
    <row r="14" customFormat="false" ht="15" hidden="false" customHeight="false" outlineLevel="0" collapsed="false">
      <c r="A14" s="9"/>
      <c r="B14" s="3"/>
    </row>
    <row r="15" customFormat="false" ht="15" hidden="false" customHeight="false" outlineLevel="0" collapsed="false">
      <c r="A15" s="9" t="s">
        <v>114</v>
      </c>
      <c r="B15" s="5" t="n">
        <f aca="false">B9*12</f>
        <v>252000</v>
      </c>
    </row>
    <row r="16" customFormat="false" ht="15" hidden="false" customHeight="false" outlineLevel="0" collapsed="false">
      <c r="A16" s="9" t="s">
        <v>115</v>
      </c>
      <c r="B16" s="5" t="n">
        <f aca="false">B10*12</f>
        <v>309600</v>
      </c>
    </row>
    <row r="17" customFormat="false" ht="15" hidden="false" customHeight="false" outlineLevel="0" collapsed="false">
      <c r="A17" s="9" t="s">
        <v>116</v>
      </c>
      <c r="B17" s="5" t="n">
        <f aca="false">B16-B15</f>
        <v>57600</v>
      </c>
    </row>
    <row r="18" customFormat="false" ht="15" hidden="false" customHeight="false" outlineLevel="0" collapsed="false">
      <c r="A18" s="9" t="s">
        <v>117</v>
      </c>
      <c r="B18" s="3" t="n">
        <f aca="false">COUNTIF('Rent Roll'!I2:I19,"&gt;"&amp;0)</f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2026-02-25T23:13:12Z</dcterms:created>
  <dc:creator>openpyxl</dc:creator>
  <dc:description/>
  <dc:language>en-US</dc:language>
  <cp:lastModifiedBy/>
  <dcterms:modified xsi:type="dcterms:W3CDTF">2026-02-25T23:13:13Z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