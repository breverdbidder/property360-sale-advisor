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Sales" sheetId="1" state="visible" r:id="rId1"/>
    <sheet xmlns:r="http://schemas.openxmlformats.org/officeDocument/2006/relationships" name="Valuation Scenarios" sheetId="2" state="visible" r:id="rId2"/>
    <sheet xmlns:r="http://schemas.openxmlformats.org/officeDocument/2006/relationships" name="Buyer Underwriting" sheetId="3" state="visible" r:id="rId3"/>
  </sheets>
  <definedNames>
    <definedName name="_xlnm._FilterDatabase" localSheetId="0" hidden="1">'Comparable Sales'!$A$1:$H$7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"/>
    <numFmt numFmtId="167" formatCode="0.00x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color rgb="001565C0"/>
      <sz val="10"/>
    </font>
    <font>
      <name val="Arial"/>
      <b val="1"/>
      <color rgb="001565C0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3" fillId="0" borderId="1" pivotButton="0" quotePrefix="0" xfId="0"/>
    <xf numFmtId="166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5" fillId="0" borderId="1" pivotButton="0" quotePrefix="0" xfId="0"/>
    <xf numFmtId="164" fontId="6" fillId="0" borderId="1" pivotButton="0" quotePrefix="0" xfId="0"/>
    <xf numFmtId="1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10" fontId="5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2" customWidth="1" min="4" max="4"/>
    <col width="15" customWidth="1" min="5" max="5"/>
    <col width="14" customWidth="1" min="6" max="6"/>
    <col width="12" customWidth="1" min="7" max="7"/>
    <col width="8" customWidth="1" min="8" max="8"/>
  </cols>
  <sheetData>
    <row r="1">
      <c r="A1" s="1" t="inlineStr">
        <is>
          <t>#</t>
        </is>
      </c>
      <c r="B1" s="1" t="inlineStr">
        <is>
          <t>Address</t>
        </is>
      </c>
      <c r="C1" s="1" t="inlineStr">
        <is>
          <t>Units</t>
        </is>
      </c>
      <c r="D1" s="1" t="inlineStr">
        <is>
          <t>Sale Date</t>
        </is>
      </c>
      <c r="E1" s="1" t="inlineStr">
        <is>
          <t>Sale Price</t>
        </is>
      </c>
      <c r="F1" s="1" t="inlineStr">
        <is>
          <t>Price/Unit</t>
        </is>
      </c>
      <c r="G1" s="1" t="inlineStr">
        <is>
          <t>Cap Rate</t>
        </is>
      </c>
      <c r="H1" s="1" t="inlineStr">
        <is>
          <t>GRM</t>
        </is>
      </c>
    </row>
    <row r="2">
      <c r="A2" s="2" t="n">
        <v>1</v>
      </c>
      <c r="B2" s="2" t="inlineStr">
        <is>
          <t>1520 Emerson Dr NE, Palm Bay</t>
        </is>
      </c>
      <c r="C2" s="3" t="n">
        <v>12</v>
      </c>
      <c r="D2" s="2" t="inlineStr">
        <is>
          <t>2025-09</t>
        </is>
      </c>
      <c r="E2" s="4" t="n">
        <v>1380000</v>
      </c>
      <c r="F2" s="4" t="n">
        <v>115000</v>
      </c>
      <c r="G2" s="5" t="n">
        <v>0.07199999999999999</v>
      </c>
      <c r="H2" s="6" t="n">
        <v>8.4</v>
      </c>
    </row>
    <row r="3">
      <c r="A3" s="2" t="n">
        <v>2</v>
      </c>
      <c r="B3" s="2" t="inlineStr">
        <is>
          <t>890 Americana Blvd, Melbourne</t>
        </is>
      </c>
      <c r="C3" s="3" t="n">
        <v>20</v>
      </c>
      <c r="D3" s="2" t="inlineStr">
        <is>
          <t>2025-11</t>
        </is>
      </c>
      <c r="E3" s="4" t="n">
        <v>2450000</v>
      </c>
      <c r="F3" s="4" t="n">
        <v>122500</v>
      </c>
      <c r="G3" s="5" t="n">
        <v>0.06900000000000001</v>
      </c>
      <c r="H3" s="6" t="n">
        <v>8.800000000000001</v>
      </c>
    </row>
    <row r="4">
      <c r="A4" s="2" t="n">
        <v>3</v>
      </c>
      <c r="B4" s="2" t="inlineStr">
        <is>
          <t>3200 Dixie Hwy NE, Palm Bay</t>
        </is>
      </c>
      <c r="C4" s="3" t="n">
        <v>16</v>
      </c>
      <c r="D4" s="2" t="inlineStr">
        <is>
          <t>2025-06</t>
        </is>
      </c>
      <c r="E4" s="4" t="n">
        <v>1680000</v>
      </c>
      <c r="F4" s="4" t="n">
        <v>105000</v>
      </c>
      <c r="G4" s="5" t="n">
        <v>0.075</v>
      </c>
      <c r="H4" s="6" t="n">
        <v>7.9</v>
      </c>
    </row>
    <row r="5">
      <c r="A5" s="2" t="n">
        <v>4</v>
      </c>
      <c r="B5" s="2" t="inlineStr">
        <is>
          <t>445 Sarno Rd, Melbourne</t>
        </is>
      </c>
      <c r="C5" s="3" t="n">
        <v>24</v>
      </c>
      <c r="D5" s="2" t="inlineStr">
        <is>
          <t>2025-08</t>
        </is>
      </c>
      <c r="E5" s="4" t="n">
        <v>3120000</v>
      </c>
      <c r="F5" s="4" t="n">
        <v>130000</v>
      </c>
      <c r="G5" s="5" t="n">
        <v>0.065</v>
      </c>
      <c r="H5" s="6" t="n">
        <v>9.199999999999999</v>
      </c>
    </row>
    <row r="6">
      <c r="A6" s="2" t="n">
        <v>5</v>
      </c>
      <c r="B6" s="2" t="inlineStr">
        <is>
          <t>2100 Palm Bay Rd NE</t>
        </is>
      </c>
      <c r="C6" s="3" t="n">
        <v>14</v>
      </c>
      <c r="D6" s="2" t="inlineStr">
        <is>
          <t>2025-04</t>
        </is>
      </c>
      <c r="E6" s="4" t="n">
        <v>1540000</v>
      </c>
      <c r="F6" s="4" t="n">
        <v>110000</v>
      </c>
      <c r="G6" s="5" t="n">
        <v>0.078</v>
      </c>
      <c r="H6" s="6" t="n">
        <v>8.1</v>
      </c>
    </row>
    <row r="7">
      <c r="A7" s="7" t="inlineStr"/>
      <c r="B7" s="7" t="inlineStr">
        <is>
          <t>Averages</t>
        </is>
      </c>
      <c r="C7" s="8">
        <f>AVERAGE(C2:C6)</f>
        <v/>
      </c>
      <c r="D7" s="7" t="inlineStr"/>
      <c r="E7" s="9">
        <f>AVERAGE(E2:E6)</f>
        <v/>
      </c>
      <c r="F7" s="9">
        <f>AVERAGE(F2:F6)</f>
        <v/>
      </c>
      <c r="G7" s="10">
        <f>AVERAGE(G2:G6)</f>
        <v/>
      </c>
      <c r="H7" s="8">
        <f>AVERAGE(H2:H6)</f>
        <v/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Income Approach (Cap Rate)</t>
        </is>
      </c>
      <c r="B1" s="1" t="n"/>
      <c r="C1" s="1" t="n"/>
      <c r="D1" s="1" t="n"/>
    </row>
    <row r="2">
      <c r="A2" s="1" t="inlineStr">
        <is>
          <t>Metric</t>
        </is>
      </c>
      <c r="B2" s="1" t="inlineStr">
        <is>
          <t>Low (7.5%)</t>
        </is>
      </c>
      <c r="C2" s="1" t="inlineStr">
        <is>
          <t>Mid (7.0%)</t>
        </is>
      </c>
      <c r="D2" s="1" t="inlineStr">
        <is>
          <t>High (6.5%)</t>
        </is>
      </c>
    </row>
    <row r="3">
      <c r="A3" s="7" t="inlineStr">
        <is>
          <t>NOI (Actual)</t>
        </is>
      </c>
      <c r="B3" s="11" t="n">
        <v>134250</v>
      </c>
      <c r="C3" s="4">
        <f>B3</f>
        <v/>
      </c>
      <c r="D3" s="4">
        <f>B3</f>
        <v/>
      </c>
    </row>
    <row r="4">
      <c r="A4" s="7" t="inlineStr">
        <is>
          <t>Cap Rate</t>
        </is>
      </c>
      <c r="B4" s="12" t="n">
        <v>0.075</v>
      </c>
      <c r="C4" s="12" t="n">
        <v>0.07000000000000001</v>
      </c>
      <c r="D4" s="12" t="n">
        <v>0.065</v>
      </c>
    </row>
    <row r="5">
      <c r="A5" s="7" t="inlineStr">
        <is>
          <t>Indicated Value</t>
        </is>
      </c>
      <c r="B5" s="9">
        <f>B3/B4</f>
        <v/>
      </c>
      <c r="C5" s="9">
        <f>C3/C4</f>
        <v/>
      </c>
      <c r="D5" s="9">
        <f>D3/D4</f>
        <v/>
      </c>
    </row>
    <row r="7">
      <c r="A7" s="1" t="inlineStr">
        <is>
          <t>GRM Approach (Gross Rent Multiplier)</t>
        </is>
      </c>
      <c r="B7" s="1" t="n"/>
      <c r="C7" s="1" t="n"/>
      <c r="D7" s="1" t="n"/>
    </row>
    <row r="8">
      <c r="A8" s="1" t="inlineStr">
        <is>
          <t>Metric</t>
        </is>
      </c>
      <c r="B8" s="1" t="inlineStr">
        <is>
          <t>Low (8.0x)</t>
        </is>
      </c>
      <c r="C8" s="1" t="inlineStr">
        <is>
          <t>Mid (8.5x)</t>
        </is>
      </c>
      <c r="D8" s="1" t="inlineStr">
        <is>
          <t>High (9.0x)</t>
        </is>
      </c>
    </row>
    <row r="9">
      <c r="A9" s="7" t="inlineStr">
        <is>
          <t>Gross Annual Rent (at Market)</t>
        </is>
      </c>
      <c r="B9" s="11" t="n">
        <v>298800</v>
      </c>
      <c r="C9" s="4">
        <f>B9</f>
        <v/>
      </c>
      <c r="D9" s="4">
        <f>B9</f>
        <v/>
      </c>
    </row>
    <row r="10">
      <c r="A10" s="7" t="inlineStr">
        <is>
          <t>GRM</t>
        </is>
      </c>
      <c r="B10" s="13" t="n">
        <v>8</v>
      </c>
      <c r="C10" s="13" t="n">
        <v>8.5</v>
      </c>
      <c r="D10" s="13" t="n">
        <v>9</v>
      </c>
    </row>
    <row r="11">
      <c r="A11" s="7" t="inlineStr">
        <is>
          <t>Indicated Value</t>
        </is>
      </c>
      <c r="B11" s="9">
        <f>B9*B10</f>
        <v/>
      </c>
      <c r="C11" s="9">
        <f>C9*C10</f>
        <v/>
      </c>
      <c r="D11" s="9">
        <f>D9*D10</f>
        <v/>
      </c>
    </row>
    <row r="13">
      <c r="A13" s="1" t="inlineStr">
        <is>
          <t>Price Per Unit Approach</t>
        </is>
      </c>
      <c r="B13" s="1" t="n"/>
      <c r="C13" s="1" t="n"/>
      <c r="D13" s="1" t="n"/>
    </row>
    <row r="14">
      <c r="A14" s="1" t="inlineStr">
        <is>
          <t>Metric</t>
        </is>
      </c>
      <c r="B14" s="1" t="inlineStr">
        <is>
          <t>Low ($105K)</t>
        </is>
      </c>
      <c r="C14" s="1" t="inlineStr">
        <is>
          <t>Mid ($115K)</t>
        </is>
      </c>
      <c r="D14" s="1" t="inlineStr">
        <is>
          <t>High ($125K)</t>
        </is>
      </c>
    </row>
    <row r="15">
      <c r="A15" s="7" t="inlineStr">
        <is>
          <t>Total Units</t>
        </is>
      </c>
      <c r="B15" s="14" t="n">
        <v>18</v>
      </c>
      <c r="C15" s="2">
        <f>B15</f>
        <v/>
      </c>
      <c r="D15" s="2">
        <f>B15</f>
        <v/>
      </c>
    </row>
    <row r="16">
      <c r="A16" s="7" t="inlineStr">
        <is>
          <t>Price Per Unit</t>
        </is>
      </c>
      <c r="B16" s="11" t="n">
        <v>105000</v>
      </c>
      <c r="C16" s="11" t="n">
        <v>115000</v>
      </c>
      <c r="D16" s="11" t="n">
        <v>125000</v>
      </c>
    </row>
    <row r="17">
      <c r="A17" s="7" t="inlineStr">
        <is>
          <t>Indicated Value</t>
        </is>
      </c>
      <c r="B17" s="9">
        <f>B15*B16</f>
        <v/>
      </c>
      <c r="C17" s="9">
        <f>C15*C16</f>
        <v/>
      </c>
      <c r="D17" s="9">
        <f>D15*D16</f>
        <v/>
      </c>
    </row>
    <row r="19">
      <c r="A19" s="1" t="inlineStr">
        <is>
          <t>Recommended List Price</t>
        </is>
      </c>
      <c r="B19" s="1" t="n"/>
      <c r="C19" s="1" t="n"/>
      <c r="D19" s="1" t="n"/>
    </row>
    <row r="20">
      <c r="A20" s="1" t="inlineStr">
        <is>
          <t>Metric</t>
        </is>
      </c>
      <c r="B20" s="1" t="inlineStr">
        <is>
          <t>Value</t>
        </is>
      </c>
      <c r="C20" s="1" t="n"/>
      <c r="D20" s="1" t="n"/>
    </row>
    <row r="21">
      <c r="A21" s="7" t="inlineStr">
        <is>
          <t>Recommended List Price</t>
        </is>
      </c>
      <c r="B21" s="15" t="n">
        <v>1950000</v>
      </c>
    </row>
    <row r="22">
      <c r="A22" s="7" t="inlineStr">
        <is>
          <t>Price Per Unit</t>
        </is>
      </c>
      <c r="B22" s="9">
        <f>B21/B15</f>
        <v/>
      </c>
    </row>
    <row r="23">
      <c r="A23" s="7" t="inlineStr">
        <is>
          <t>Cap Rate (Actual NOI)</t>
        </is>
      </c>
      <c r="B23" s="16">
        <f>B3/B21</f>
        <v/>
      </c>
    </row>
    <row r="24">
      <c r="A24" s="7" t="inlineStr">
        <is>
          <t>NOI (Pro Forma)</t>
        </is>
      </c>
      <c r="B24" s="11" t="n">
        <v>174021</v>
      </c>
    </row>
    <row r="25">
      <c r="A25" s="7" t="inlineStr">
        <is>
          <t>Cap Rate (Pro Forma NOI)</t>
        </is>
      </c>
      <c r="B25" s="16">
        <f>B24/B21</f>
        <v/>
      </c>
    </row>
  </sheetData>
  <mergeCells count="4">
    <mergeCell ref="A1:D1"/>
    <mergeCell ref="A7:D7"/>
    <mergeCell ref="A13:D13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Buyer Underwriting Analysis</t>
        </is>
      </c>
      <c r="B1" s="1" t="n"/>
      <c r="C1" s="1" t="n"/>
      <c r="D1" s="1" t="n"/>
    </row>
    <row r="2">
      <c r="A2" s="1" t="inlineStr">
        <is>
          <t>Metric</t>
        </is>
      </c>
      <c r="B2" s="1" t="inlineStr">
        <is>
          <t>Conservative</t>
        </is>
      </c>
      <c r="C2" s="1" t="inlineStr">
        <is>
          <t>Base</t>
        </is>
      </c>
      <c r="D2" s="1" t="inlineStr">
        <is>
          <t>Aggressive</t>
        </is>
      </c>
    </row>
    <row r="3">
      <c r="A3" s="17" t="inlineStr">
        <is>
          <t>Input Assumptions</t>
        </is>
      </c>
      <c r="B3" s="18" t="n"/>
      <c r="C3" s="18" t="n"/>
      <c r="D3" s="18" t="n"/>
    </row>
    <row r="4">
      <c r="A4" s="7" t="inlineStr">
        <is>
          <t>Purchase Price</t>
        </is>
      </c>
      <c r="B4" s="11" t="n">
        <v>1950000</v>
      </c>
      <c r="C4" s="11" t="n">
        <v>1950000</v>
      </c>
      <c r="D4" s="11" t="n">
        <v>1950000</v>
      </c>
    </row>
    <row r="5">
      <c r="A5" s="7" t="inlineStr">
        <is>
          <t>Down Payment %</t>
        </is>
      </c>
      <c r="B5" s="19" t="n">
        <v>0.25</v>
      </c>
      <c r="C5" s="19" t="n">
        <v>0.25</v>
      </c>
      <c r="D5" s="19" t="n">
        <v>0.25</v>
      </c>
    </row>
    <row r="6">
      <c r="A6" s="7" t="inlineStr">
        <is>
          <t>Down Payment $</t>
        </is>
      </c>
      <c r="B6" s="4">
        <f>B4*B5</f>
        <v/>
      </c>
      <c r="C6" s="4">
        <f>C4*C5</f>
        <v/>
      </c>
      <c r="D6" s="4">
        <f>D4*D5</f>
        <v/>
      </c>
    </row>
    <row r="7">
      <c r="A7" s="7" t="inlineStr">
        <is>
          <t>Loan Amount</t>
        </is>
      </c>
      <c r="B7" s="4">
        <f>B4-B6</f>
        <v/>
      </c>
      <c r="C7" s="4">
        <f>C4-C6</f>
        <v/>
      </c>
      <c r="D7" s="4">
        <f>D4-D6</f>
        <v/>
      </c>
    </row>
    <row r="8">
      <c r="A8" s="7" t="inlineStr">
        <is>
          <t>Interest Rate</t>
        </is>
      </c>
      <c r="B8" s="19" t="n">
        <v>0.0725</v>
      </c>
      <c r="C8" s="19" t="n">
        <v>0.0725</v>
      </c>
      <c r="D8" s="19" t="n">
        <v>0.0725</v>
      </c>
    </row>
    <row r="9">
      <c r="A9" s="7" t="inlineStr">
        <is>
          <t>Loan Term (Years)</t>
        </is>
      </c>
      <c r="B9" s="14" t="n">
        <v>30</v>
      </c>
      <c r="C9" s="14" t="n">
        <v>30</v>
      </c>
      <c r="D9" s="14" t="n">
        <v>30</v>
      </c>
    </row>
    <row r="10">
      <c r="A10" s="7" t="inlineStr">
        <is>
          <t>Net Operating Income (NOI)</t>
        </is>
      </c>
      <c r="B10" s="11" t="n">
        <v>134250</v>
      </c>
      <c r="C10" s="11" t="n">
        <v>154000</v>
      </c>
      <c r="D10" s="11" t="n">
        <v>174021</v>
      </c>
    </row>
    <row r="12">
      <c r="A12" s="17" t="inlineStr">
        <is>
          <t>Output Calculations</t>
        </is>
      </c>
      <c r="B12" s="18" t="n"/>
      <c r="C12" s="18" t="n"/>
      <c r="D12" s="18" t="n"/>
    </row>
    <row r="13">
      <c r="A13" s="7" t="inlineStr">
        <is>
          <t>Annual Debt Service</t>
        </is>
      </c>
      <c r="B13" s="9">
        <f>-PMT(B8/12,B9*12,B7)*12</f>
        <v/>
      </c>
      <c r="C13" s="9">
        <f>-PMT(C8/12,C9*12,C7)*12</f>
        <v/>
      </c>
      <c r="D13" s="9">
        <f>-PMT(D8/12,D9*12,D7)*12</f>
        <v/>
      </c>
    </row>
    <row r="14">
      <c r="A14" s="7" t="inlineStr">
        <is>
          <t>Debt Service Coverage Ratio (DSCR)</t>
        </is>
      </c>
      <c r="B14" s="20">
        <f>B10/B13</f>
        <v/>
      </c>
      <c r="C14" s="20">
        <f>C10/C13</f>
        <v/>
      </c>
      <c r="D14" s="20">
        <f>D10/D13</f>
        <v/>
      </c>
    </row>
    <row r="15">
      <c r="A15" s="7" t="inlineStr">
        <is>
          <t>Cash-on-Cash Return</t>
        </is>
      </c>
      <c r="B15" s="16">
        <f>(B10-B13)/B6</f>
        <v/>
      </c>
      <c r="C15" s="16">
        <f>(C10-C13)/C6</f>
        <v/>
      </c>
      <c r="D15" s="16">
        <f>(D10-D13)/D6</f>
        <v/>
      </c>
    </row>
    <row r="16">
      <c r="A16" s="7" t="inlineStr">
        <is>
          <t>Cap Rate</t>
        </is>
      </c>
      <c r="B16" s="16">
        <f>B10/B4</f>
        <v/>
      </c>
      <c r="C16" s="16">
        <f>C10/C4</f>
        <v/>
      </c>
      <c r="D16" s="16">
        <f>D10/D4</f>
        <v/>
      </c>
    </row>
    <row r="18">
      <c r="A18" s="17" t="inlineStr">
        <is>
          <t>5-Year IRR Estimate</t>
        </is>
      </c>
      <c r="B18" s="18" t="n"/>
      <c r="C18" s="18" t="n"/>
      <c r="D18" s="18" t="n"/>
    </row>
    <row r="19">
      <c r="A19" s="7" t="inlineStr">
        <is>
          <t>Exit Cap Rate</t>
        </is>
      </c>
      <c r="B19" s="19" t="n">
        <v>0.07000000000000001</v>
      </c>
      <c r="C19" s="19" t="n">
        <v>0.07000000000000001</v>
      </c>
      <c r="D19" s="19" t="n">
        <v>0.07000000000000001</v>
      </c>
    </row>
    <row r="20">
      <c r="A20" s="7" t="inlineStr">
        <is>
          <t>Annual NOI Growth</t>
        </is>
      </c>
      <c r="B20" s="19" t="n">
        <v>0.03</v>
      </c>
      <c r="C20" s="19" t="n">
        <v>0.03</v>
      </c>
      <c r="D20" s="19" t="n">
        <v>0.03</v>
      </c>
    </row>
    <row r="21">
      <c r="A21" s="7" t="inlineStr">
        <is>
          <t>Year 5 NOI</t>
        </is>
      </c>
      <c r="B21" s="4">
        <f>B10*(1+B20)^5</f>
        <v/>
      </c>
      <c r="C21" s="4">
        <f>C10*(1+C20)^5</f>
        <v/>
      </c>
      <c r="D21" s="4">
        <f>D10*(1+D20)^5</f>
        <v/>
      </c>
    </row>
    <row r="22">
      <c r="A22" s="7" t="inlineStr">
        <is>
          <t>Exit Sale Price (Year 5)</t>
        </is>
      </c>
      <c r="B22" s="4">
        <f>B21/B19</f>
        <v/>
      </c>
      <c r="C22" s="4">
        <f>C21/C19</f>
        <v/>
      </c>
      <c r="D22" s="4">
        <f>D21/D19</f>
        <v/>
      </c>
    </row>
    <row r="23">
      <c r="A23" s="7" t="inlineStr">
        <is>
          <t>Remaining Loan Balance (Year 5)</t>
        </is>
      </c>
      <c r="B23" s="4">
        <f>FV(B8/12,60,-PMT(B8/12,B9*12,B7),B7)</f>
        <v/>
      </c>
      <c r="C23" s="4">
        <f>FV(C8/12,60,-PMT(C8/12,C9*12,C7),C7)</f>
        <v/>
      </c>
      <c r="D23" s="4">
        <f>FV(D8/12,60,-PMT(D8/12,D9*12,D7),D7)</f>
        <v/>
      </c>
    </row>
    <row r="24">
      <c r="A24" s="7" t="inlineStr">
        <is>
          <t>Equity at Sale</t>
        </is>
      </c>
      <c r="B24" s="4">
        <f>B22-B23</f>
        <v/>
      </c>
      <c r="C24" s="4">
        <f>C22-C23</f>
        <v/>
      </c>
      <c r="D24" s="4">
        <f>D22-D23</f>
        <v/>
      </c>
    </row>
    <row r="25">
      <c r="A25" s="7" t="inlineStr">
        <is>
          <t>Annual Cash Flow (Year 1)</t>
        </is>
      </c>
      <c r="B25" s="4">
        <f>B10-B13</f>
        <v/>
      </c>
      <c r="C25" s="4">
        <f>C10-C13</f>
        <v/>
      </c>
      <c r="D25" s="4">
        <f>D10-D13</f>
        <v/>
      </c>
    </row>
    <row r="26">
      <c r="A26" s="7" t="inlineStr">
        <is>
          <t>5-Year IRR (Approx.)</t>
        </is>
      </c>
      <c r="B26" s="16">
        <f>IRR(B28:B33)</f>
        <v/>
      </c>
      <c r="C26" s="16">
        <f>IRR(C28:C33)</f>
        <v/>
      </c>
      <c r="D26" s="16">
        <f>IRR(D28:D33)</f>
        <v/>
      </c>
    </row>
    <row r="27">
      <c r="A27" s="17" t="inlineStr">
        <is>
          <t>IRR Cash Flow Detail</t>
        </is>
      </c>
      <c r="B27" s="18" t="n"/>
      <c r="C27" s="18" t="n"/>
      <c r="D27" s="18" t="n"/>
    </row>
    <row r="28">
      <c r="A28" s="2" t="inlineStr">
        <is>
          <t>Year 0 (Investment)</t>
        </is>
      </c>
      <c r="B28" s="4">
        <f>-B6</f>
        <v/>
      </c>
      <c r="C28" s="4">
        <f>-C6</f>
        <v/>
      </c>
      <c r="D28" s="4">
        <f>-D6</f>
        <v/>
      </c>
    </row>
    <row r="29">
      <c r="A29" s="2" t="inlineStr">
        <is>
          <t>Year 1 Cash Flow</t>
        </is>
      </c>
      <c r="B29" s="4">
        <f>B10-B13</f>
        <v/>
      </c>
      <c r="C29" s="4">
        <f>C10-C13</f>
        <v/>
      </c>
      <c r="D29" s="4">
        <f>D10-D13</f>
        <v/>
      </c>
    </row>
    <row r="30">
      <c r="A30" s="2" t="inlineStr">
        <is>
          <t>Year 2 Cash Flow</t>
        </is>
      </c>
      <c r="B30" s="4">
        <f>B10*(1+B20)^1-B13</f>
        <v/>
      </c>
      <c r="C30" s="4">
        <f>C10*(1+C20)^1-C13</f>
        <v/>
      </c>
      <c r="D30" s="4">
        <f>D10*(1+D20)^1-D13</f>
        <v/>
      </c>
    </row>
    <row r="31">
      <c r="A31" s="2" t="inlineStr">
        <is>
          <t>Year 3 Cash Flow</t>
        </is>
      </c>
      <c r="B31" s="4">
        <f>B10*(1+B20)^2-B13</f>
        <v/>
      </c>
      <c r="C31" s="4">
        <f>C10*(1+C20)^2-C13</f>
        <v/>
      </c>
      <c r="D31" s="4">
        <f>D10*(1+D20)^2-D13</f>
        <v/>
      </c>
    </row>
    <row r="32">
      <c r="A32" s="2" t="inlineStr">
        <is>
          <t>Year 4 Cash Flow</t>
        </is>
      </c>
      <c r="B32" s="4">
        <f>B10*(1+B20)^3-B13</f>
        <v/>
      </c>
      <c r="C32" s="4">
        <f>C10*(1+C20)^3-C13</f>
        <v/>
      </c>
      <c r="D32" s="4">
        <f>D10*(1+D20)^3-D13</f>
        <v/>
      </c>
    </row>
    <row r="33">
      <c r="A33" s="2" t="inlineStr">
        <is>
          <t>Year 5 Cash Flow + Sale</t>
        </is>
      </c>
      <c r="B33" s="4">
        <f>B10*(1+B20)^4-B13+B24</f>
        <v/>
      </c>
      <c r="C33" s="4">
        <f>C10*(1+C20)^4-C13+C24</f>
        <v/>
      </c>
      <c r="D33" s="4">
        <f>D10*(1+D20)^4-D13+D24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2026-02-25T23:29:35Z</dcterms:created>
  <dcterms:modified xmlns:dcterms="http://purl.org/dc/terms/" xmlns:xsi="http://www.w3.org/2001/XMLSchema-instance" xsi:type="dcterms:W3CDTF">2026-02-25T23:29:35Z</dcterms:modified>
</cp:coreProperties>
</file>