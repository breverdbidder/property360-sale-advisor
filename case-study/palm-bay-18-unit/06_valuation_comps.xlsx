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able Sales" sheetId="1" state="visible" r:id="rId3"/>
    <sheet name="Valuation Scenarios" sheetId="2" state="visible" r:id="rId4"/>
    <sheet name="Buyer Underwritin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<sst xmlns="http://schemas.openxmlformats.org/spreadsheetml/2006/main" count="76" uniqueCount="67">
  <si>
    <t xml:space="preserve">#</t>
  </si>
  <si>
    <t xml:space="preserve">Address</t>
  </si>
  <si>
    <t xml:space="preserve">Units</t>
  </si>
  <si>
    <t xml:space="preserve">Sale Date</t>
  </si>
  <si>
    <t xml:space="preserve">Sale Price</t>
  </si>
  <si>
    <t xml:space="preserve">Price/Unit</t>
  </si>
  <si>
    <t xml:space="preserve">Cap Rate</t>
  </si>
  <si>
    <t xml:space="preserve">GRM</t>
  </si>
  <si>
    <t xml:space="preserve">1520 Emerson Dr NE, Palm Bay</t>
  </si>
  <si>
    <t xml:space="preserve">2025-09</t>
  </si>
  <si>
    <t xml:space="preserve">890 Americana Blvd, Melbourne</t>
  </si>
  <si>
    <t xml:space="preserve">2025-11</t>
  </si>
  <si>
    <t xml:space="preserve">3200 Dixie Hwy NE, Palm Bay</t>
  </si>
  <si>
    <t xml:space="preserve">2025-06</t>
  </si>
  <si>
    <t xml:space="preserve">445 Sarno Rd, Melbourne</t>
  </si>
  <si>
    <t xml:space="preserve">2025-08</t>
  </si>
  <si>
    <t xml:space="preserve">2100 Palm Bay Rd NE</t>
  </si>
  <si>
    <t xml:space="preserve">2025-04</t>
  </si>
  <si>
    <t xml:space="preserve">SUBJECT</t>
  </si>
  <si>
    <t xml:space="preserve">Palm Bay Palms Apartments</t>
  </si>
  <si>
    <t xml:space="preserve">Listing</t>
  </si>
  <si>
    <t xml:space="preserve">Comp Averages</t>
  </si>
  <si>
    <t xml:space="preserve">VALUATION SCENARIOS</t>
  </si>
  <si>
    <t xml:space="preserve">KEY INPUTS</t>
  </si>
  <si>
    <t xml:space="preserve">Actual NOI (T-12)</t>
  </si>
  <si>
    <t xml:space="preserve">Stabilized NOI</t>
  </si>
  <si>
    <t xml:space="preserve">Gross Annual Rent</t>
  </si>
  <si>
    <t xml:space="preserve">Number of Units</t>
  </si>
  <si>
    <t xml:space="preserve">INCOME APPROACH (NOI / Cap Rate)</t>
  </si>
  <si>
    <t xml:space="preserve">Scenario</t>
  </si>
  <si>
    <t xml:space="preserve">NOI Used</t>
  </si>
  <si>
    <t xml:space="preserve">Indicated Value</t>
  </si>
  <si>
    <t xml:space="preserve">Actual @ 6.5%</t>
  </si>
  <si>
    <t xml:space="preserve">Actual @ 7.0%</t>
  </si>
  <si>
    <t xml:space="preserve">Actual @ 7.5%</t>
  </si>
  <si>
    <t xml:space="preserve">Stabilized @ 6.5%</t>
  </si>
  <si>
    <t xml:space="preserve">Stabilized @ 7.0%</t>
  </si>
  <si>
    <t xml:space="preserve">Stabilized @ 7.5%</t>
  </si>
  <si>
    <t xml:space="preserve">GRM APPROACH (Gross Rent x Multiplier)</t>
  </si>
  <si>
    <t xml:space="preserve">Annual Gross Rent</t>
  </si>
  <si>
    <t xml:space="preserve">GRM 8.0x</t>
  </si>
  <si>
    <t xml:space="preserve">GRM 8.5x</t>
  </si>
  <si>
    <t xml:space="preserve">GRM 9.0x</t>
  </si>
  <si>
    <t xml:space="preserve">PRICE PER UNIT APPROACH</t>
  </si>
  <si>
    <t xml:space="preserve">$105,000/unit</t>
  </si>
  <si>
    <t xml:space="preserve">$115,000/unit</t>
  </si>
  <si>
    <t xml:space="preserve">$125,000/unit</t>
  </si>
  <si>
    <t xml:space="preserve">RECOMMENDED LIST PRICE</t>
  </si>
  <si>
    <t xml:space="preserve">Per Unit</t>
  </si>
  <si>
    <t xml:space="preserve">Cap Rate (Actual NOI)</t>
  </si>
  <si>
    <t xml:space="preserve">BUYER UNDERWRITING SCENARIOS</t>
  </si>
  <si>
    <t xml:space="preserve">Purchase Price</t>
  </si>
  <si>
    <t xml:space="preserve">Down Payment %</t>
  </si>
  <si>
    <t xml:space="preserve">Loan Amount</t>
  </si>
  <si>
    <t xml:space="preserve">Interest Rate</t>
  </si>
  <si>
    <t xml:space="preserve">Loan Term (years)</t>
  </si>
  <si>
    <t xml:space="preserve">Down Payment $</t>
  </si>
  <si>
    <t xml:space="preserve">SCENARIO ANALYSIS</t>
  </si>
  <si>
    <t xml:space="preserve">Metric</t>
  </si>
  <si>
    <t xml:space="preserve">Conservative</t>
  </si>
  <si>
    <t xml:space="preserve">Base Case</t>
  </si>
  <si>
    <t xml:space="preserve">Aggressive</t>
  </si>
  <si>
    <t xml:space="preserve">NOI Assumption</t>
  </si>
  <si>
    <t xml:space="preserve">Annual Debt Service</t>
  </si>
  <si>
    <t xml:space="preserve">Cash Flow After DS</t>
  </si>
  <si>
    <t xml:space="preserve">DSCR</t>
  </si>
  <si>
    <t xml:space="preserve">Cash-on-Cash Return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</si>
</sst>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"/>
    <numFmt numFmtId="166" formatCode="0.0%"/>
    <numFmt numFmtId="167" formatCode="0.0"/>
    <numFmt numFmtId="168" formatCode="General"/>
    <numFmt numFmtId="169" formatCode="0.00%"/>
    <numFmt numFmtId="170" formatCode="0.0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E3A5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E3A5F"/>
      <name val="Arial"/>
      <family val="0"/>
      <charset val="1"/>
    </font>
    <font>
      <b val="true"/>
      <sz val="12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5F"/>
        <bgColor rgb="FF333333"/>
      </patternFill>
    </fill>
    <fill>
      <patternFill patternType="solid">
        <fgColor rgb="FFFFF3E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E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n">
        <v>1</v>
      </c>
      <c r="B2" s="2" t="s">
        <v>8</v>
      </c>
      <c r="C2" s="2" t="n">
        <v>12</v>
      </c>
      <c r="D2" s="2" t="s">
        <v>9</v>
      </c>
      <c r="E2" s="3" t="n">
        <v>1380000</v>
      </c>
      <c r="F2" s="3" t="n">
        <v>115000</v>
      </c>
      <c r="G2" s="4" t="n">
        <v>0.072</v>
      </c>
      <c r="H2" s="2" t="n">
        <v>8.4</v>
      </c>
    </row>
    <row r="3" customFormat="false" ht="15" hidden="false" customHeight="false" outlineLevel="0" collapsed="false">
      <c r="A3" s="2" t="n">
        <v>2</v>
      </c>
      <c r="B3" s="2" t="s">
        <v>10</v>
      </c>
      <c r="C3" s="2" t="n">
        <v>20</v>
      </c>
      <c r="D3" s="2" t="s">
        <v>11</v>
      </c>
      <c r="E3" s="3" t="n">
        <v>2450000</v>
      </c>
      <c r="F3" s="3" t="n">
        <v>122500</v>
      </c>
      <c r="G3" s="4" t="n">
        <v>0.069</v>
      </c>
      <c r="H3" s="2" t="n">
        <v>8.8</v>
      </c>
    </row>
    <row r="4" customFormat="false" ht="15" hidden="false" customHeight="false" outlineLevel="0" collapsed="false">
      <c r="A4" s="2" t="n">
        <v>3</v>
      </c>
      <c r="B4" s="2" t="s">
        <v>12</v>
      </c>
      <c r="C4" s="2" t="n">
        <v>16</v>
      </c>
      <c r="D4" s="2" t="s">
        <v>13</v>
      </c>
      <c r="E4" s="3" t="n">
        <v>1680000</v>
      </c>
      <c r="F4" s="3" t="n">
        <v>105000</v>
      </c>
      <c r="G4" s="4" t="n">
        <v>0.075</v>
      </c>
      <c r="H4" s="2" t="n">
        <v>7.9</v>
      </c>
    </row>
    <row r="5" customFormat="false" ht="15" hidden="false" customHeight="false" outlineLevel="0" collapsed="false">
      <c r="A5" s="2" t="n">
        <v>4</v>
      </c>
      <c r="B5" s="2" t="s">
        <v>14</v>
      </c>
      <c r="C5" s="2" t="n">
        <v>24</v>
      </c>
      <c r="D5" s="2" t="s">
        <v>15</v>
      </c>
      <c r="E5" s="3" t="n">
        <v>3120000</v>
      </c>
      <c r="F5" s="3" t="n">
        <v>130000</v>
      </c>
      <c r="G5" s="4" t="n">
        <v>0.065</v>
      </c>
      <c r="H5" s="2" t="n">
        <v>9.2</v>
      </c>
    </row>
    <row r="6" customFormat="false" ht="15" hidden="false" customHeight="false" outlineLevel="0" collapsed="false">
      <c r="A6" s="2" t="n">
        <v>5</v>
      </c>
      <c r="B6" s="2" t="s">
        <v>16</v>
      </c>
      <c r="C6" s="2" t="n">
        <v>14</v>
      </c>
      <c r="D6" s="2" t="s">
        <v>17</v>
      </c>
      <c r="E6" s="3" t="n">
        <v>1540000</v>
      </c>
      <c r="F6" s="3" t="n">
        <v>110000</v>
      </c>
      <c r="G6" s="4" t="n">
        <v>0.078</v>
      </c>
      <c r="H6" s="2" t="n">
        <v>8.1</v>
      </c>
    </row>
    <row r="8" customFormat="false" ht="15" hidden="false" customHeight="false" outlineLevel="0" collapsed="false">
      <c r="A8" s="5" t="s">
        <v>18</v>
      </c>
      <c r="B8" s="5" t="s">
        <v>19</v>
      </c>
      <c r="C8" s="5" t="n">
        <v>18</v>
      </c>
      <c r="D8" s="5" t="s">
        <v>20</v>
      </c>
      <c r="E8" s="6" t="n">
        <v>1950000</v>
      </c>
      <c r="F8" s="6" t="n">
        <f aca="false">E8/C8</f>
        <v>108333.333333333</v>
      </c>
      <c r="G8" s="7" t="n">
        <v>0.0688461538461539</v>
      </c>
      <c r="H8" s="8"/>
    </row>
    <row r="10" customFormat="false" ht="15" hidden="false" customHeight="false" outlineLevel="0" collapsed="false">
      <c r="A10" s="9" t="s">
        <v>21</v>
      </c>
      <c r="E10" s="10" t="n">
        <f aca="false">AVERAGE(E2:E6)</f>
        <v>2034000</v>
      </c>
      <c r="F10" s="10" t="n">
        <f aca="false">AVERAGE(F2:F6)</f>
        <v>116500</v>
      </c>
      <c r="G10" s="11" t="n">
        <f aca="false">AVERAGE(G2:G6)</f>
        <v>0.0718</v>
      </c>
      <c r="H10" s="12" t="n">
        <f aca="false">AVERAGE(H2:H6)</f>
        <v>8.48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8"/>
  </cols>
  <sheetData>
    <row r="1" customFormat="false" ht="17.35" hidden="false" customHeight="false" outlineLevel="0" collapsed="false">
      <c r="A1" s="13" t="s">
        <v>22</v>
      </c>
    </row>
    <row r="3" customFormat="false" ht="15" hidden="false" customHeight="false" outlineLevel="0" collapsed="false">
      <c r="A3" s="9" t="s">
        <v>23</v>
      </c>
    </row>
    <row r="4" customFormat="false" ht="15" hidden="false" customHeight="false" outlineLevel="0" collapsed="false">
      <c r="A4" s="14" t="s">
        <v>24</v>
      </c>
      <c r="B4" s="15" t="n">
        <v>134250</v>
      </c>
    </row>
    <row r="5" customFormat="false" ht="15" hidden="false" customHeight="false" outlineLevel="0" collapsed="false">
      <c r="A5" s="14" t="s">
        <v>25</v>
      </c>
      <c r="B5" s="15" t="n">
        <v>174021</v>
      </c>
    </row>
    <row r="6" customFormat="false" ht="15" hidden="false" customHeight="false" outlineLevel="0" collapsed="false">
      <c r="A6" s="14" t="s">
        <v>26</v>
      </c>
      <c r="B6" s="15" t="n">
        <v>282000</v>
      </c>
    </row>
    <row r="7" customFormat="false" ht="15" hidden="false" customHeight="false" outlineLevel="0" collapsed="false">
      <c r="A7" s="14" t="s">
        <v>27</v>
      </c>
      <c r="B7" s="16" t="n">
        <v>18</v>
      </c>
    </row>
    <row r="9" customFormat="false" ht="15" hidden="false" customHeight="false" outlineLevel="0" collapsed="false">
      <c r="A9" s="9" t="s">
        <v>28</v>
      </c>
    </row>
    <row r="10" customFormat="false" ht="15" hidden="false" customHeight="false" outlineLevel="0" collapsed="false">
      <c r="A10" s="1" t="s">
        <v>29</v>
      </c>
      <c r="B10" s="1" t="s">
        <v>30</v>
      </c>
      <c r="C10" s="1" t="s">
        <v>6</v>
      </c>
      <c r="D10" s="1" t="s">
        <v>31</v>
      </c>
    </row>
    <row r="11" customFormat="false" ht="15" hidden="false" customHeight="false" outlineLevel="0" collapsed="false">
      <c r="A11" s="2" t="s">
        <v>32</v>
      </c>
      <c r="B11" s="17" t="n">
        <f aca="false">B4</f>
        <v>134250</v>
      </c>
      <c r="C11" s="18" t="n">
        <v>0.065</v>
      </c>
      <c r="D11" s="19" t="n">
        <f aca="false">B11/C11</f>
        <v>2065384.61538462</v>
      </c>
    </row>
    <row r="12" customFormat="false" ht="15" hidden="false" customHeight="false" outlineLevel="0" collapsed="false">
      <c r="A12" s="2" t="s">
        <v>33</v>
      </c>
      <c r="B12" s="17" t="n">
        <f aca="false">B4</f>
        <v>134250</v>
      </c>
      <c r="C12" s="18" t="n">
        <v>0.07</v>
      </c>
      <c r="D12" s="19" t="n">
        <f aca="false">B12/C12</f>
        <v>1917857.14285714</v>
      </c>
    </row>
    <row r="13" customFormat="false" ht="15" hidden="false" customHeight="false" outlineLevel="0" collapsed="false">
      <c r="A13" s="2" t="s">
        <v>34</v>
      </c>
      <c r="B13" s="17" t="n">
        <f aca="false">B4</f>
        <v>134250</v>
      </c>
      <c r="C13" s="18" t="n">
        <v>0.075</v>
      </c>
      <c r="D13" s="19" t="n">
        <f aca="false">B13/C13</f>
        <v>1790000</v>
      </c>
    </row>
    <row r="14" customFormat="false" ht="15" hidden="false" customHeight="false" outlineLevel="0" collapsed="false">
      <c r="A14" s="2" t="s">
        <v>35</v>
      </c>
      <c r="B14" s="17" t="n">
        <f aca="false">B5</f>
        <v>174021</v>
      </c>
      <c r="C14" s="18" t="n">
        <v>0.065</v>
      </c>
      <c r="D14" s="19" t="n">
        <f aca="false">B14/C14</f>
        <v>2677246.15384615</v>
      </c>
    </row>
    <row r="15" customFormat="false" ht="15" hidden="false" customHeight="false" outlineLevel="0" collapsed="false">
      <c r="A15" s="2" t="s">
        <v>36</v>
      </c>
      <c r="B15" s="17" t="n">
        <f aca="false">B5</f>
        <v>174021</v>
      </c>
      <c r="C15" s="18" t="n">
        <v>0.07</v>
      </c>
      <c r="D15" s="19" t="n">
        <f aca="false">B15/C15</f>
        <v>2486014.28571429</v>
      </c>
    </row>
    <row r="16" customFormat="false" ht="15" hidden="false" customHeight="false" outlineLevel="0" collapsed="false">
      <c r="A16" s="2" t="s">
        <v>37</v>
      </c>
      <c r="B16" s="17" t="n">
        <f aca="false">B5</f>
        <v>174021</v>
      </c>
      <c r="C16" s="18" t="n">
        <v>0.075</v>
      </c>
      <c r="D16" s="19" t="n">
        <f aca="false">B16/C16</f>
        <v>2320280</v>
      </c>
    </row>
    <row r="19" customFormat="false" ht="15" hidden="false" customHeight="false" outlineLevel="0" collapsed="false">
      <c r="A19" s="9" t="s">
        <v>38</v>
      </c>
    </row>
    <row r="20" customFormat="false" ht="15" hidden="false" customHeight="false" outlineLevel="0" collapsed="false">
      <c r="A20" s="1" t="s">
        <v>29</v>
      </c>
      <c r="B20" s="1" t="s">
        <v>39</v>
      </c>
      <c r="C20" s="1" t="s">
        <v>7</v>
      </c>
      <c r="D20" s="1" t="s">
        <v>31</v>
      </c>
    </row>
    <row r="21" customFormat="false" ht="15" hidden="false" customHeight="false" outlineLevel="0" collapsed="false">
      <c r="A21" s="2" t="s">
        <v>40</v>
      </c>
      <c r="B21" s="17" t="n">
        <f aca="false">B6</f>
        <v>282000</v>
      </c>
      <c r="C21" s="20" t="n">
        <v>8</v>
      </c>
      <c r="D21" s="19" t="n">
        <f aca="false">B21*C21</f>
        <v>2256000</v>
      </c>
    </row>
    <row r="22" customFormat="false" ht="15" hidden="false" customHeight="false" outlineLevel="0" collapsed="false">
      <c r="A22" s="2" t="s">
        <v>41</v>
      </c>
      <c r="B22" s="17" t="n">
        <f aca="false">B6</f>
        <v>282000</v>
      </c>
      <c r="C22" s="20" t="n">
        <v>8.5</v>
      </c>
      <c r="D22" s="19" t="n">
        <f aca="false">B22*C22</f>
        <v>2397000</v>
      </c>
    </row>
    <row r="23" customFormat="false" ht="15" hidden="false" customHeight="false" outlineLevel="0" collapsed="false">
      <c r="A23" s="2" t="s">
        <v>42</v>
      </c>
      <c r="B23" s="17" t="n">
        <f aca="false">B6</f>
        <v>282000</v>
      </c>
      <c r="C23" s="20" t="n">
        <v>9</v>
      </c>
      <c r="D23" s="19" t="n">
        <f aca="false">B23*C23</f>
        <v>2538000</v>
      </c>
    </row>
    <row r="26" customFormat="false" ht="15" hidden="false" customHeight="false" outlineLevel="0" collapsed="false">
      <c r="A26" s="9" t="s">
        <v>43</v>
      </c>
    </row>
    <row r="27" customFormat="false" ht="15" hidden="false" customHeight="false" outlineLevel="0" collapsed="false">
      <c r="A27" s="1" t="s">
        <v>29</v>
      </c>
      <c r="B27" s="1" t="s">
        <v>2</v>
      </c>
      <c r="C27" s="1" t="s">
        <v>5</v>
      </c>
      <c r="D27" s="1" t="s">
        <v>31</v>
      </c>
    </row>
    <row r="28" customFormat="false" ht="15" hidden="false" customHeight="false" outlineLevel="0" collapsed="false">
      <c r="A28" s="2" t="s">
        <v>44</v>
      </c>
      <c r="B28" s="21" t="n">
        <f aca="false">B7</f>
        <v>18</v>
      </c>
      <c r="C28" s="22" t="n">
        <v>105000</v>
      </c>
      <c r="D28" s="19" t="n">
        <f aca="false">B28*C28</f>
        <v>1890000</v>
      </c>
    </row>
    <row r="29" customFormat="false" ht="15" hidden="false" customHeight="false" outlineLevel="0" collapsed="false">
      <c r="A29" s="2" t="s">
        <v>45</v>
      </c>
      <c r="B29" s="21" t="n">
        <f aca="false">B7</f>
        <v>18</v>
      </c>
      <c r="C29" s="22" t="n">
        <v>115000</v>
      </c>
      <c r="D29" s="19" t="n">
        <f aca="false">B29*C29</f>
        <v>2070000</v>
      </c>
    </row>
    <row r="30" customFormat="false" ht="15" hidden="false" customHeight="false" outlineLevel="0" collapsed="false">
      <c r="A30" s="2" t="s">
        <v>46</v>
      </c>
      <c r="B30" s="21" t="n">
        <f aca="false">B7</f>
        <v>18</v>
      </c>
      <c r="C30" s="22" t="n">
        <v>125000</v>
      </c>
      <c r="D30" s="19" t="n">
        <f aca="false">B30*C30</f>
        <v>2250000</v>
      </c>
    </row>
    <row r="33" customFormat="false" ht="15" hidden="false" customHeight="false" outlineLevel="0" collapsed="false">
      <c r="A33" s="23" t="s">
        <v>47</v>
      </c>
      <c r="B33" s="24" t="n">
        <v>1950000</v>
      </c>
    </row>
    <row r="34" customFormat="false" ht="15" hidden="false" customHeight="false" outlineLevel="0" collapsed="false">
      <c r="A34" s="9" t="s">
        <v>48</v>
      </c>
      <c r="B34" s="25" t="n">
        <f aca="false">B33/B7</f>
        <v>108333.333333333</v>
      </c>
    </row>
    <row r="35" customFormat="false" ht="15" hidden="false" customHeight="false" outlineLevel="0" collapsed="false">
      <c r="A35" s="9" t="s">
        <v>49</v>
      </c>
      <c r="B35" s="26" t="n">
        <f aca="false">B4/B33</f>
        <v>0.0688461538461539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6"/>
  </cols>
  <sheetData>
    <row r="1" customFormat="false" ht="17.35" hidden="false" customHeight="false" outlineLevel="0" collapsed="false">
      <c r="A1" s="13" t="s">
        <v>50</v>
      </c>
    </row>
    <row r="3" customFormat="false" ht="15" hidden="false" customHeight="false" outlineLevel="0" collapsed="false">
      <c r="A3" s="14" t="s">
        <v>51</v>
      </c>
      <c r="B3" s="15" t="n">
        <v>1950000</v>
      </c>
    </row>
    <row r="4" customFormat="false" ht="15" hidden="false" customHeight="false" outlineLevel="0" collapsed="false">
      <c r="A4" s="14" t="s">
        <v>52</v>
      </c>
      <c r="B4" s="27" t="n">
        <v>0.25</v>
      </c>
    </row>
    <row r="5" customFormat="false" ht="15" hidden="false" customHeight="false" outlineLevel="0" collapsed="false">
      <c r="A5" s="14" t="s">
        <v>53</v>
      </c>
      <c r="B5" s="25" t="n">
        <f aca="false">B3*(1-B4)</f>
        <v>1462500</v>
      </c>
    </row>
    <row r="6" customFormat="false" ht="15" hidden="false" customHeight="false" outlineLevel="0" collapsed="false">
      <c r="A6" s="14" t="s">
        <v>54</v>
      </c>
      <c r="B6" s="28" t="n">
        <v>0.0725</v>
      </c>
    </row>
    <row r="7" customFormat="false" ht="15" hidden="false" customHeight="false" outlineLevel="0" collapsed="false">
      <c r="A7" s="14" t="s">
        <v>55</v>
      </c>
      <c r="B7" s="16" t="n">
        <v>30</v>
      </c>
    </row>
    <row r="8" customFormat="false" ht="15" hidden="false" customHeight="false" outlineLevel="0" collapsed="false">
      <c r="A8" s="14" t="s">
        <v>56</v>
      </c>
      <c r="B8" s="25" t="n">
        <f aca="false">B3*B4</f>
        <v>487500</v>
      </c>
    </row>
    <row r="10" customFormat="false" ht="15" hidden="false" customHeight="false" outlineLevel="0" collapsed="false">
      <c r="A10" s="9" t="s">
        <v>57</v>
      </c>
    </row>
    <row r="11" customFormat="false" ht="15" hidden="false" customHeight="false" outlineLevel="0" collapsed="false">
      <c r="A11" s="1" t="s">
        <v>58</v>
      </c>
      <c r="B11" s="1" t="s">
        <v>59</v>
      </c>
      <c r="C11" s="1" t="s">
        <v>60</v>
      </c>
      <c r="D11" s="1" t="s">
        <v>61</v>
      </c>
    </row>
    <row r="12" customFormat="false" ht="15" hidden="false" customHeight="false" outlineLevel="0" collapsed="false">
      <c r="A12" s="29" t="s">
        <v>62</v>
      </c>
      <c r="B12" s="22" t="n">
        <v>134250</v>
      </c>
      <c r="C12" s="22" t="n">
        <v>154136</v>
      </c>
      <c r="D12" s="22" t="n">
        <v>174021</v>
      </c>
    </row>
    <row r="13" customFormat="false" ht="15" hidden="false" customHeight="false" outlineLevel="0" collapsed="false">
      <c r="A13" s="2" t="s">
        <v>63</v>
      </c>
      <c r="B13" s="17" t="n">
        <f aca="false">-PMT(B6/12,B7*12,B5)*12</f>
        <v>119721.937149862</v>
      </c>
      <c r="C13" s="17" t="n">
        <f aca="false">-PMT(B6/12,B7*12,B5)*12</f>
        <v>119721.937149862</v>
      </c>
      <c r="D13" s="17" t="n">
        <f aca="false">-PMT(B6/12,B7*12,B5)*12</f>
        <v>119721.937149862</v>
      </c>
    </row>
    <row r="14" customFormat="false" ht="15" hidden="false" customHeight="false" outlineLevel="0" collapsed="false">
      <c r="A14" s="29" t="s">
        <v>64</v>
      </c>
      <c r="B14" s="17" t="n">
        <f aca="false">B12-B13</f>
        <v>14528.0628501383</v>
      </c>
      <c r="C14" s="17" t="n">
        <f aca="false">C12-C13</f>
        <v>34414.0628501383</v>
      </c>
      <c r="D14" s="17" t="n">
        <f aca="false">D12-D13</f>
        <v>54299.0628501383</v>
      </c>
    </row>
    <row r="15" customFormat="false" ht="15" hidden="false" customHeight="false" outlineLevel="0" collapsed="false">
      <c r="A15" s="2" t="s">
        <v>6</v>
      </c>
      <c r="B15" s="30" t="n">
        <f aca="false">B12/B3</f>
        <v>0.0688461538461539</v>
      </c>
      <c r="C15" s="30" t="n">
        <f aca="false">C12/B3</f>
        <v>0.0790441025641026</v>
      </c>
      <c r="D15" s="30" t="n">
        <f aca="false">D12/B3</f>
        <v>0.0892415384615385</v>
      </c>
    </row>
    <row r="16" customFormat="false" ht="15" hidden="false" customHeight="false" outlineLevel="0" collapsed="false">
      <c r="A16" s="2" t="s">
        <v>65</v>
      </c>
      <c r="B16" s="31" t="n">
        <f aca="false">B12/B13</f>
        <v>1.12134837771588</v>
      </c>
      <c r="C16" s="31" t="n">
        <f aca="false">C12/C13</f>
        <v>1.28744993331557</v>
      </c>
      <c r="D16" s="31" t="n">
        <f aca="false">D12/D13</f>
        <v>1.45354313622715</v>
      </c>
    </row>
    <row r="17" customFormat="false" ht="15" hidden="false" customHeight="false" outlineLevel="0" collapsed="false">
      <c r="A17" s="29" t="s">
        <v>66</v>
      </c>
      <c r="B17" s="30" t="n">
        <f aca="false">B14/B8</f>
        <v>0.0298011545643863</v>
      </c>
      <c r="C17" s="30" t="n">
        <f aca="false">C14/B8</f>
        <v>0.0705929494361812</v>
      </c>
      <c r="D17" s="30" t="n">
        <f aca="false">D14/B8</f>
        <v>0.111382693025925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2026-02-25T23:20:46Z</dcterms:created>
  <dc:creator>openpyxl</dc:creator>
  <dc:description/>
  <dc:language>en-US</dc:language>
  <cp:lastModifiedBy/>
  <dcterms:modified xsi:type="dcterms:W3CDTF">2026-02-25T23:20:46Z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