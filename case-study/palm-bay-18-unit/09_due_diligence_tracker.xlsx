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e Diligence Tracker" sheetId="1" state="visible" r:id="rId3"/>
  </sheets>
  <definedNames>
    <definedName function="false" hidden="true" localSheetId="0" name="_xlnm._FilterDatabase" vbProcedure="false">'Due Diligence Tracker'!$A$1:$I$31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<sst xmlns="http://schemas.openxmlformats.org/spreadsheetml/2006/main" count="212" uniqueCount="66">
  <si>
    <t xml:space="preserve">DD Item</t>
  </si>
  <si>
    <t xml:space="preserve">Category</t>
  </si>
  <si>
    <t xml:space="preserve">Status</t>
  </si>
  <si>
    <t xml:space="preserve">Responsible Party</t>
  </si>
  <si>
    <t xml:space="preserve">Date Requested</t>
  </si>
  <si>
    <t xml:space="preserve">Date Received</t>
  </si>
  <si>
    <t xml:space="preserve">Days Outstanding</t>
  </si>
  <si>
    <t xml:space="preserve">Notes</t>
  </si>
  <si>
    <t xml:space="preserve">Critical?</t>
  </si>
  <si>
    <t xml:space="preserve">T-12 Profit &amp; Loss Statement</t>
  </si>
  <si>
    <t xml:space="preserve">Financial</t>
  </si>
  <si>
    <t xml:space="preserve">Received</t>
  </si>
  <si>
    <t xml:space="preserve">Seller</t>
  </si>
  <si>
    <t xml:space="preserve">2026-02-13</t>
  </si>
  <si>
    <t xml:space="preserve">No</t>
  </si>
  <si>
    <t xml:space="preserve">Current Rent Roll</t>
  </si>
  <si>
    <t xml:space="preserve">Yes</t>
  </si>
  <si>
    <t xml:space="preserve">Tax Returns (2 years)</t>
  </si>
  <si>
    <t xml:space="preserve">Requested</t>
  </si>
  <si>
    <t xml:space="preserve">2026-02-11</t>
  </si>
  <si>
    <t xml:space="preserve">Insurance Policy (Current)</t>
  </si>
  <si>
    <t xml:space="preserve">2026-02-14</t>
  </si>
  <si>
    <t xml:space="preserve">All Leases (16 occupied units)</t>
  </si>
  <si>
    <t xml:space="preserve">Legal</t>
  </si>
  <si>
    <t xml:space="preserve">Security Deposit Ledger</t>
  </si>
  <si>
    <t xml:space="preserve">Utility Bills (12 months)</t>
  </si>
  <si>
    <t xml:space="preserve">Vendor Contracts</t>
  </si>
  <si>
    <t xml:space="preserve">Operational</t>
  </si>
  <si>
    <t xml:space="preserve">Pending</t>
  </si>
  <si>
    <t xml:space="preserve">Property Tax Bills (2 years)</t>
  </si>
  <si>
    <t xml:space="preserve">2026-02-10</t>
  </si>
  <si>
    <t xml:space="preserve">Survey</t>
  </si>
  <si>
    <t xml:space="preserve">Buyer</t>
  </si>
  <si>
    <t xml:space="preserve">2026-02-12</t>
  </si>
  <si>
    <t xml:space="preserve">Phase I Environmental</t>
  </si>
  <si>
    <t xml:space="preserve">Environmental</t>
  </si>
  <si>
    <t xml:space="preserve">Title Commitment</t>
  </si>
  <si>
    <t xml:space="preserve">Title Co</t>
  </si>
  <si>
    <t xml:space="preserve">Zoning Verification Letter</t>
  </si>
  <si>
    <t xml:space="preserve">Certificate of Occupancy</t>
  </si>
  <si>
    <t xml:space="preserve">Building Permits (last 5 years)</t>
  </si>
  <si>
    <t xml:space="preserve">HOA Documents</t>
  </si>
  <si>
    <t xml:space="preserve">Cleared</t>
  </si>
  <si>
    <t xml:space="preserve">N/A</t>
  </si>
  <si>
    <t xml:space="preserve">N/A - Not within HOA community</t>
  </si>
  <si>
    <t xml:space="preserve">Estoppel Letters (all tenants)</t>
  </si>
  <si>
    <t xml:space="preserve">Inspection Report</t>
  </si>
  <si>
    <t xml:space="preserve">Physical</t>
  </si>
  <si>
    <t xml:space="preserve">Appraisal</t>
  </si>
  <si>
    <t xml:space="preserve">Bank Statements (6 months)</t>
  </si>
  <si>
    <t xml:space="preserve">Loan Payoff Letter</t>
  </si>
  <si>
    <t xml:space="preserve">LLC Operating Agreement</t>
  </si>
  <si>
    <t xml:space="preserve">Articles of Organization</t>
  </si>
  <si>
    <t xml:space="preserve">Property Management Agreement</t>
  </si>
  <si>
    <t xml:space="preserve">Roof Warranty</t>
  </si>
  <si>
    <t xml:space="preserve">HVAC Service Records</t>
  </si>
  <si>
    <t xml:space="preserve">Fire Inspection Report</t>
  </si>
  <si>
    <t xml:space="preserve">ADA Compliance Letter</t>
  </si>
  <si>
    <t xml:space="preserve">Flood Certification</t>
  </si>
  <si>
    <t xml:space="preserve">Lead Paint Disclosure</t>
  </si>
  <si>
    <t xml:space="preserve">Post-1978 construction</t>
  </si>
  <si>
    <t xml:space="preserve">SUMMARY</t>
  </si>
  <si>
    <t xml:space="preserve">Total Items</t>
  </si>
  <si>
    <t xml:space="preserve">Received/Reviewed</t>
  </si>
  <si>
    <t xml:space="preserve">Pending/Requested</t>
  </si>
  <si>
    <t xml:space="preserve">Completion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</si>
</sst>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rgb="FF1E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13</v>
      </c>
      <c r="G2" s="4" t="str">
        <f aca="true">IF(F2="",TODAY()-DATEVALUE(E2),"")</f>
        <v/>
      </c>
      <c r="H2" s="2"/>
      <c r="I2" s="2" t="s">
        <v>14</v>
      </c>
    </row>
    <row r="3" customFormat="false" ht="15" hidden="false" customHeight="false" outlineLevel="0" collapsed="false">
      <c r="A3" s="2" t="s">
        <v>15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13</v>
      </c>
      <c r="G3" s="4" t="str">
        <f aca="true">IF(F3="",TODAY()-DATEVALUE(E3),"")</f>
        <v/>
      </c>
      <c r="H3" s="2"/>
      <c r="I3" s="5" t="s">
        <v>16</v>
      </c>
    </row>
    <row r="4" customFormat="false" ht="15" hidden="false" customHeight="false" outlineLevel="0" collapsed="false">
      <c r="A4" s="2" t="s">
        <v>17</v>
      </c>
      <c r="B4" s="2" t="s">
        <v>10</v>
      </c>
      <c r="C4" s="6" t="s">
        <v>18</v>
      </c>
      <c r="D4" s="2" t="s">
        <v>12</v>
      </c>
      <c r="E4" s="2" t="s">
        <v>19</v>
      </c>
      <c r="F4" s="2"/>
      <c r="G4" s="4" t="n">
        <f aca="true">IF(F4="",TODAY()-DATEVALUE(E4),"")</f>
        <v>14</v>
      </c>
      <c r="H4" s="2"/>
      <c r="I4" s="2" t="s">
        <v>14</v>
      </c>
    </row>
    <row r="5" customFormat="false" ht="15" hidden="false" customHeight="false" outlineLevel="0" collapsed="false">
      <c r="A5" s="2" t="s">
        <v>20</v>
      </c>
      <c r="B5" s="2" t="s">
        <v>10</v>
      </c>
      <c r="C5" s="3" t="s">
        <v>11</v>
      </c>
      <c r="D5" s="2" t="s">
        <v>12</v>
      </c>
      <c r="E5" s="2" t="s">
        <v>21</v>
      </c>
      <c r="F5" s="2" t="s">
        <v>21</v>
      </c>
      <c r="G5" s="4" t="str">
        <f aca="true">IF(F5="",TODAY()-DATEVALUE(E5),"")</f>
        <v/>
      </c>
      <c r="H5" s="2"/>
      <c r="I5" s="2" t="s">
        <v>14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s">
        <v>11</v>
      </c>
      <c r="D6" s="2" t="s">
        <v>12</v>
      </c>
      <c r="E6" s="2" t="s">
        <v>19</v>
      </c>
      <c r="F6" s="2" t="s">
        <v>19</v>
      </c>
      <c r="G6" s="4" t="str">
        <f aca="true">IF(F6="",TODAY()-DATEVALUE(E6),"")</f>
        <v/>
      </c>
      <c r="H6" s="2"/>
      <c r="I6" s="5" t="s">
        <v>16</v>
      </c>
    </row>
    <row r="7" customFormat="false" ht="15" hidden="false" customHeight="false" outlineLevel="0" collapsed="false">
      <c r="A7" s="2" t="s">
        <v>24</v>
      </c>
      <c r="B7" s="2" t="s">
        <v>10</v>
      </c>
      <c r="C7" s="3" t="s">
        <v>11</v>
      </c>
      <c r="D7" s="2" t="s">
        <v>12</v>
      </c>
      <c r="E7" s="2" t="s">
        <v>19</v>
      </c>
      <c r="F7" s="2" t="s">
        <v>19</v>
      </c>
      <c r="G7" s="4" t="str">
        <f aca="true">IF(F7="",TODAY()-DATEVALUE(E7),"")</f>
        <v/>
      </c>
      <c r="H7" s="2"/>
      <c r="I7" s="2" t="s">
        <v>14</v>
      </c>
    </row>
    <row r="8" customFormat="false" ht="15" hidden="false" customHeight="false" outlineLevel="0" collapsed="false">
      <c r="A8" s="2" t="s">
        <v>25</v>
      </c>
      <c r="B8" s="2" t="s">
        <v>10</v>
      </c>
      <c r="C8" s="6" t="s">
        <v>18</v>
      </c>
      <c r="D8" s="2" t="s">
        <v>12</v>
      </c>
      <c r="E8" s="2" t="s">
        <v>19</v>
      </c>
      <c r="F8" s="2"/>
      <c r="G8" s="4" t="n">
        <f aca="true">IF(F8="",TODAY()-DATEVALUE(E8),"")</f>
        <v>14</v>
      </c>
      <c r="H8" s="2"/>
      <c r="I8" s="2" t="s">
        <v>14</v>
      </c>
    </row>
    <row r="9" customFormat="false" ht="15" hidden="false" customHeight="false" outlineLevel="0" collapsed="false">
      <c r="A9" s="2" t="s">
        <v>26</v>
      </c>
      <c r="B9" s="2" t="s">
        <v>27</v>
      </c>
      <c r="C9" s="7" t="s">
        <v>28</v>
      </c>
      <c r="D9" s="2" t="s">
        <v>12</v>
      </c>
      <c r="E9" s="2" t="s">
        <v>19</v>
      </c>
      <c r="F9" s="2"/>
      <c r="G9" s="4" t="n">
        <f aca="true">IF(F9="",TODAY()-DATEVALUE(E9),"")</f>
        <v>14</v>
      </c>
      <c r="H9" s="2"/>
      <c r="I9" s="2" t="s">
        <v>14</v>
      </c>
    </row>
    <row r="10" customFormat="false" ht="15" hidden="false" customHeight="false" outlineLevel="0" collapsed="false">
      <c r="A10" s="2" t="s">
        <v>29</v>
      </c>
      <c r="B10" s="2" t="s">
        <v>10</v>
      </c>
      <c r="C10" s="3" t="s">
        <v>11</v>
      </c>
      <c r="D10" s="2" t="s">
        <v>12</v>
      </c>
      <c r="E10" s="2" t="s">
        <v>30</v>
      </c>
      <c r="F10" s="2" t="s">
        <v>30</v>
      </c>
      <c r="G10" s="4" t="str">
        <f aca="true">IF(F10="",TODAY()-DATEVALUE(E10),"")</f>
        <v/>
      </c>
      <c r="H10" s="2"/>
      <c r="I10" s="2" t="s">
        <v>14</v>
      </c>
    </row>
    <row r="11" customFormat="false" ht="15" hidden="false" customHeight="false" outlineLevel="0" collapsed="false">
      <c r="A11" s="2" t="s">
        <v>31</v>
      </c>
      <c r="B11" s="2" t="s">
        <v>23</v>
      </c>
      <c r="C11" s="7" t="s">
        <v>28</v>
      </c>
      <c r="D11" s="2" t="s">
        <v>32</v>
      </c>
      <c r="E11" s="2" t="s">
        <v>33</v>
      </c>
      <c r="F11" s="2"/>
      <c r="G11" s="4" t="n">
        <f aca="true">IF(F11="",TODAY()-DATEVALUE(E11),"")</f>
        <v>13</v>
      </c>
      <c r="H11" s="2"/>
      <c r="I11" s="2" t="s">
        <v>14</v>
      </c>
    </row>
    <row r="12" customFormat="false" ht="15" hidden="false" customHeight="false" outlineLevel="0" collapsed="false">
      <c r="A12" s="2" t="s">
        <v>34</v>
      </c>
      <c r="B12" s="2" t="s">
        <v>35</v>
      </c>
      <c r="C12" s="7" t="s">
        <v>28</v>
      </c>
      <c r="D12" s="2" t="s">
        <v>32</v>
      </c>
      <c r="E12" s="2" t="s">
        <v>13</v>
      </c>
      <c r="F12" s="2"/>
      <c r="G12" s="4" t="n">
        <f aca="true">IF(F12="",TODAY()-DATEVALUE(E12),"")</f>
        <v>12</v>
      </c>
      <c r="H12" s="2"/>
      <c r="I12" s="5" t="s">
        <v>16</v>
      </c>
    </row>
    <row r="13" customFormat="false" ht="15" hidden="false" customHeight="false" outlineLevel="0" collapsed="false">
      <c r="A13" s="2" t="s">
        <v>36</v>
      </c>
      <c r="B13" s="2" t="s">
        <v>23</v>
      </c>
      <c r="C13" s="3" t="s">
        <v>11</v>
      </c>
      <c r="D13" s="2" t="s">
        <v>37</v>
      </c>
      <c r="E13" s="2" t="s">
        <v>21</v>
      </c>
      <c r="F13" s="2" t="s">
        <v>21</v>
      </c>
      <c r="G13" s="4" t="str">
        <f aca="true">IF(F13="",TODAY()-DATEVALUE(E13),"")</f>
        <v/>
      </c>
      <c r="H13" s="2"/>
      <c r="I13" s="5" t="s">
        <v>16</v>
      </c>
    </row>
    <row r="14" customFormat="false" ht="15" hidden="false" customHeight="false" outlineLevel="0" collapsed="false">
      <c r="A14" s="2" t="s">
        <v>38</v>
      </c>
      <c r="B14" s="2" t="s">
        <v>23</v>
      </c>
      <c r="C14" s="6" t="s">
        <v>18</v>
      </c>
      <c r="D14" s="2" t="s">
        <v>32</v>
      </c>
      <c r="E14" s="2" t="s">
        <v>21</v>
      </c>
      <c r="F14" s="2"/>
      <c r="G14" s="4" t="n">
        <f aca="true">IF(F14="",TODAY()-DATEVALUE(E14),"")</f>
        <v>11</v>
      </c>
      <c r="H14" s="2"/>
      <c r="I14" s="2" t="s">
        <v>14</v>
      </c>
    </row>
    <row r="15" customFormat="false" ht="15" hidden="false" customHeight="false" outlineLevel="0" collapsed="false">
      <c r="A15" s="2" t="s">
        <v>39</v>
      </c>
      <c r="B15" s="2" t="s">
        <v>23</v>
      </c>
      <c r="C15" s="3" t="s">
        <v>11</v>
      </c>
      <c r="D15" s="2" t="s">
        <v>12</v>
      </c>
      <c r="E15" s="2" t="s">
        <v>30</v>
      </c>
      <c r="F15" s="2" t="s">
        <v>30</v>
      </c>
      <c r="G15" s="4" t="str">
        <f aca="true">IF(F15="",TODAY()-DATEVALUE(E15),"")</f>
        <v/>
      </c>
      <c r="H15" s="2"/>
      <c r="I15" s="2" t="s">
        <v>14</v>
      </c>
    </row>
    <row r="16" customFormat="false" ht="15" hidden="false" customHeight="false" outlineLevel="0" collapsed="false">
      <c r="A16" s="2" t="s">
        <v>40</v>
      </c>
      <c r="B16" s="2" t="s">
        <v>23</v>
      </c>
      <c r="C16" s="6" t="s">
        <v>18</v>
      </c>
      <c r="D16" s="2" t="s">
        <v>12</v>
      </c>
      <c r="E16" s="2" t="s">
        <v>21</v>
      </c>
      <c r="F16" s="2"/>
      <c r="G16" s="4" t="n">
        <f aca="true">IF(F16="",TODAY()-DATEVALUE(E16),"")</f>
        <v>11</v>
      </c>
      <c r="H16" s="2"/>
      <c r="I16" s="2" t="s">
        <v>14</v>
      </c>
    </row>
    <row r="17" customFormat="false" ht="15" hidden="false" customHeight="false" outlineLevel="0" collapsed="false">
      <c r="A17" s="2" t="s">
        <v>41</v>
      </c>
      <c r="B17" s="2" t="s">
        <v>23</v>
      </c>
      <c r="C17" s="8" t="s">
        <v>42</v>
      </c>
      <c r="D17" s="2" t="s">
        <v>43</v>
      </c>
      <c r="E17" s="2" t="s">
        <v>13</v>
      </c>
      <c r="F17" s="2" t="s">
        <v>13</v>
      </c>
      <c r="G17" s="4" t="str">
        <f aca="true">IF(F17="",TODAY()-DATEVALUE(E17),"")</f>
        <v/>
      </c>
      <c r="H17" s="2" t="s">
        <v>44</v>
      </c>
      <c r="I17" s="2" t="s">
        <v>14</v>
      </c>
    </row>
    <row r="18" customFormat="false" ht="15" hidden="false" customHeight="false" outlineLevel="0" collapsed="false">
      <c r="A18" s="2" t="s">
        <v>45</v>
      </c>
      <c r="B18" s="2" t="s">
        <v>23</v>
      </c>
      <c r="C18" s="7" t="s">
        <v>28</v>
      </c>
      <c r="D18" s="2" t="s">
        <v>12</v>
      </c>
      <c r="E18" s="2" t="s">
        <v>19</v>
      </c>
      <c r="F18" s="2"/>
      <c r="G18" s="4" t="n">
        <f aca="true">IF(F18="",TODAY()-DATEVALUE(E18),"")</f>
        <v>14</v>
      </c>
      <c r="H18" s="2"/>
      <c r="I18" s="2" t="s">
        <v>14</v>
      </c>
    </row>
    <row r="19" customFormat="false" ht="15" hidden="false" customHeight="false" outlineLevel="0" collapsed="false">
      <c r="A19" s="2" t="s">
        <v>46</v>
      </c>
      <c r="B19" s="2" t="s">
        <v>47</v>
      </c>
      <c r="C19" s="3" t="s">
        <v>11</v>
      </c>
      <c r="D19" s="2" t="s">
        <v>32</v>
      </c>
      <c r="E19" s="2" t="s">
        <v>13</v>
      </c>
      <c r="F19" s="2" t="s">
        <v>13</v>
      </c>
      <c r="G19" s="4" t="str">
        <f aca="true">IF(F19="",TODAY()-DATEVALUE(E19),"")</f>
        <v/>
      </c>
      <c r="H19" s="2"/>
      <c r="I19" s="5" t="s">
        <v>16</v>
      </c>
    </row>
    <row r="20" customFormat="false" ht="15" hidden="false" customHeight="false" outlineLevel="0" collapsed="false">
      <c r="A20" s="2" t="s">
        <v>48</v>
      </c>
      <c r="B20" s="2" t="s">
        <v>10</v>
      </c>
      <c r="C20" s="7" t="s">
        <v>28</v>
      </c>
      <c r="D20" s="2" t="s">
        <v>32</v>
      </c>
      <c r="E20" s="2" t="s">
        <v>21</v>
      </c>
      <c r="F20" s="2"/>
      <c r="G20" s="4" t="n">
        <f aca="true">IF(F20="",TODAY()-DATEVALUE(E20),"")</f>
        <v>11</v>
      </c>
      <c r="H20" s="2"/>
      <c r="I20" s="5" t="s">
        <v>16</v>
      </c>
    </row>
    <row r="21" customFormat="false" ht="15" hidden="false" customHeight="false" outlineLevel="0" collapsed="false">
      <c r="A21" s="2" t="s">
        <v>49</v>
      </c>
      <c r="B21" s="2" t="s">
        <v>10</v>
      </c>
      <c r="C21" s="6" t="s">
        <v>18</v>
      </c>
      <c r="D21" s="2" t="s">
        <v>12</v>
      </c>
      <c r="E21" s="2" t="s">
        <v>21</v>
      </c>
      <c r="F21" s="2"/>
      <c r="G21" s="4" t="n">
        <f aca="true">IF(F21="",TODAY()-DATEVALUE(E21),"")</f>
        <v>11</v>
      </c>
      <c r="H21" s="2"/>
      <c r="I21" s="2" t="s">
        <v>14</v>
      </c>
    </row>
    <row r="22" customFormat="false" ht="15" hidden="false" customHeight="false" outlineLevel="0" collapsed="false">
      <c r="A22" s="2" t="s">
        <v>50</v>
      </c>
      <c r="B22" s="2" t="s">
        <v>10</v>
      </c>
      <c r="C22" s="6" t="s">
        <v>18</v>
      </c>
      <c r="D22" s="2" t="s">
        <v>12</v>
      </c>
      <c r="E22" s="2" t="s">
        <v>19</v>
      </c>
      <c r="F22" s="2"/>
      <c r="G22" s="4" t="n">
        <f aca="true">IF(F22="",TODAY()-DATEVALUE(E22),"")</f>
        <v>14</v>
      </c>
      <c r="H22" s="2"/>
      <c r="I22" s="2" t="s">
        <v>14</v>
      </c>
    </row>
    <row r="23" customFormat="false" ht="15" hidden="false" customHeight="false" outlineLevel="0" collapsed="false">
      <c r="A23" s="2" t="s">
        <v>51</v>
      </c>
      <c r="B23" s="2" t="s">
        <v>23</v>
      </c>
      <c r="C23" s="3" t="s">
        <v>11</v>
      </c>
      <c r="D23" s="2" t="s">
        <v>12</v>
      </c>
      <c r="E23" s="2" t="s">
        <v>33</v>
      </c>
      <c r="F23" s="2" t="s">
        <v>33</v>
      </c>
      <c r="G23" s="4" t="str">
        <f aca="true">IF(F23="",TODAY()-DATEVALUE(E23),"")</f>
        <v/>
      </c>
      <c r="H23" s="2"/>
      <c r="I23" s="2" t="s">
        <v>14</v>
      </c>
    </row>
    <row r="24" customFormat="false" ht="15" hidden="false" customHeight="false" outlineLevel="0" collapsed="false">
      <c r="A24" s="2" t="s">
        <v>52</v>
      </c>
      <c r="B24" s="2" t="s">
        <v>23</v>
      </c>
      <c r="C24" s="3" t="s">
        <v>11</v>
      </c>
      <c r="D24" s="2" t="s">
        <v>12</v>
      </c>
      <c r="E24" s="2" t="s">
        <v>13</v>
      </c>
      <c r="F24" s="2" t="s">
        <v>13</v>
      </c>
      <c r="G24" s="4" t="str">
        <f aca="true">IF(F24="",TODAY()-DATEVALUE(E24),"")</f>
        <v/>
      </c>
      <c r="H24" s="2"/>
      <c r="I24" s="2" t="s">
        <v>14</v>
      </c>
    </row>
    <row r="25" customFormat="false" ht="15" hidden="false" customHeight="false" outlineLevel="0" collapsed="false">
      <c r="A25" s="2" t="s">
        <v>53</v>
      </c>
      <c r="B25" s="2" t="s">
        <v>27</v>
      </c>
      <c r="C25" s="3" t="s">
        <v>11</v>
      </c>
      <c r="D25" s="2" t="s">
        <v>12</v>
      </c>
      <c r="E25" s="2" t="s">
        <v>19</v>
      </c>
      <c r="F25" s="2" t="s">
        <v>19</v>
      </c>
      <c r="G25" s="4" t="str">
        <f aca="true">IF(F25="",TODAY()-DATEVALUE(E25),"")</f>
        <v/>
      </c>
      <c r="H25" s="2"/>
      <c r="I25" s="2" t="s">
        <v>14</v>
      </c>
    </row>
    <row r="26" customFormat="false" ht="15" hidden="false" customHeight="false" outlineLevel="0" collapsed="false">
      <c r="A26" s="2" t="s">
        <v>54</v>
      </c>
      <c r="B26" s="2" t="s">
        <v>47</v>
      </c>
      <c r="C26" s="6" t="s">
        <v>18</v>
      </c>
      <c r="D26" s="2" t="s">
        <v>12</v>
      </c>
      <c r="E26" s="2" t="s">
        <v>19</v>
      </c>
      <c r="F26" s="2"/>
      <c r="G26" s="4" t="n">
        <f aca="true">IF(F26="",TODAY()-DATEVALUE(E26),"")</f>
        <v>14</v>
      </c>
      <c r="H26" s="2"/>
      <c r="I26" s="2" t="s">
        <v>14</v>
      </c>
    </row>
    <row r="27" customFormat="false" ht="15" hidden="false" customHeight="false" outlineLevel="0" collapsed="false">
      <c r="A27" s="2" t="s">
        <v>55</v>
      </c>
      <c r="B27" s="2" t="s">
        <v>47</v>
      </c>
      <c r="C27" s="6" t="s">
        <v>18</v>
      </c>
      <c r="D27" s="2" t="s">
        <v>12</v>
      </c>
      <c r="E27" s="2" t="s">
        <v>13</v>
      </c>
      <c r="F27" s="2"/>
      <c r="G27" s="4" t="n">
        <f aca="true">IF(F27="",TODAY()-DATEVALUE(E27),"")</f>
        <v>12</v>
      </c>
      <c r="H27" s="2"/>
      <c r="I27" s="2" t="s">
        <v>14</v>
      </c>
    </row>
    <row r="28" customFormat="false" ht="15" hidden="false" customHeight="false" outlineLevel="0" collapsed="false">
      <c r="A28" s="2" t="s">
        <v>56</v>
      </c>
      <c r="B28" s="2" t="s">
        <v>47</v>
      </c>
      <c r="C28" s="7" t="s">
        <v>28</v>
      </c>
      <c r="D28" s="2" t="s">
        <v>32</v>
      </c>
      <c r="E28" s="2" t="s">
        <v>19</v>
      </c>
      <c r="F28" s="2"/>
      <c r="G28" s="4" t="n">
        <f aca="true">IF(F28="",TODAY()-DATEVALUE(E28),"")</f>
        <v>14</v>
      </c>
      <c r="H28" s="2"/>
      <c r="I28" s="5" t="s">
        <v>16</v>
      </c>
    </row>
    <row r="29" customFormat="false" ht="15" hidden="false" customHeight="false" outlineLevel="0" collapsed="false">
      <c r="A29" s="2" t="s">
        <v>57</v>
      </c>
      <c r="B29" s="2" t="s">
        <v>23</v>
      </c>
      <c r="C29" s="7" t="s">
        <v>28</v>
      </c>
      <c r="D29" s="2" t="s">
        <v>32</v>
      </c>
      <c r="E29" s="2" t="s">
        <v>21</v>
      </c>
      <c r="F29" s="2"/>
      <c r="G29" s="4" t="n">
        <f aca="true">IF(F29="",TODAY()-DATEVALUE(E29),"")</f>
        <v>11</v>
      </c>
      <c r="H29" s="2"/>
      <c r="I29" s="2" t="s">
        <v>14</v>
      </c>
    </row>
    <row r="30" customFormat="false" ht="15" hidden="false" customHeight="false" outlineLevel="0" collapsed="false">
      <c r="A30" s="2" t="s">
        <v>58</v>
      </c>
      <c r="B30" s="2" t="s">
        <v>35</v>
      </c>
      <c r="C30" s="3" t="s">
        <v>11</v>
      </c>
      <c r="D30" s="2" t="s">
        <v>32</v>
      </c>
      <c r="E30" s="2" t="s">
        <v>33</v>
      </c>
      <c r="F30" s="2" t="s">
        <v>33</v>
      </c>
      <c r="G30" s="4" t="str">
        <f aca="true">IF(F30="",TODAY()-DATEVALUE(E30),"")</f>
        <v/>
      </c>
      <c r="H30" s="2"/>
      <c r="I30" s="2" t="s">
        <v>14</v>
      </c>
    </row>
    <row r="31" customFormat="false" ht="15" hidden="false" customHeight="false" outlineLevel="0" collapsed="false">
      <c r="A31" s="2" t="s">
        <v>59</v>
      </c>
      <c r="B31" s="2" t="s">
        <v>35</v>
      </c>
      <c r="C31" s="8" t="s">
        <v>42</v>
      </c>
      <c r="D31" s="2" t="s">
        <v>12</v>
      </c>
      <c r="E31" s="2" t="s">
        <v>30</v>
      </c>
      <c r="F31" s="2" t="s">
        <v>30</v>
      </c>
      <c r="G31" s="4" t="str">
        <f aca="true">IF(F31="",TODAY()-DATEVALUE(E31),"")</f>
        <v/>
      </c>
      <c r="H31" s="2" t="s">
        <v>60</v>
      </c>
      <c r="I31" s="2" t="s">
        <v>14</v>
      </c>
    </row>
    <row r="33" customFormat="false" ht="15" hidden="false" customHeight="false" outlineLevel="0" collapsed="false">
      <c r="A33" s="9" t="s">
        <v>61</v>
      </c>
    </row>
    <row r="34" customFormat="false" ht="15" hidden="false" customHeight="false" outlineLevel="0" collapsed="false">
      <c r="A34" s="10" t="s">
        <v>62</v>
      </c>
      <c r="B34" s="11" t="n">
        <f aca="false">COUNTA(A2:A31)</f>
        <v>30</v>
      </c>
    </row>
    <row r="35" customFormat="false" ht="15" hidden="false" customHeight="false" outlineLevel="0" collapsed="false">
      <c r="A35" s="10" t="s">
        <v>42</v>
      </c>
      <c r="B35" s="11" t="n">
        <f aca="false">COUNTIF(C2:C31,"Cleared")</f>
        <v>2</v>
      </c>
    </row>
    <row r="36" customFormat="false" ht="15" hidden="false" customHeight="false" outlineLevel="0" collapsed="false">
      <c r="A36" s="10" t="s">
        <v>63</v>
      </c>
      <c r="B36" s="11" t="n">
        <f aca="false">COUNTIF(C2:C31,"Received")+COUNTIF(C2:C31,"Reviewed")</f>
        <v>13</v>
      </c>
    </row>
    <row r="37" customFormat="false" ht="15" hidden="false" customHeight="false" outlineLevel="0" collapsed="false">
      <c r="A37" s="10" t="s">
        <v>64</v>
      </c>
      <c r="B37" s="11" t="n">
        <f aca="false">COUNTIF(C2:C31,"Pending")+COUNTIF(C2:C31,"Requested")</f>
        <v>15</v>
      </c>
    </row>
    <row r="38" customFormat="false" ht="15" hidden="false" customHeight="false" outlineLevel="0" collapsed="false">
      <c r="A38" s="10" t="s">
        <v>65</v>
      </c>
      <c r="B38" s="12" t="n">
        <f aca="false">(B35+B36)/B34</f>
        <v>0.5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2026-02-25T23:20:47Z</dcterms:created>
  <dc:creator>openpyxl</dc:creator>
  <dc:description/>
  <dc:language>en-US</dc:language>
  <cp:lastModifiedBy/>
  <dcterms:modified xsi:type="dcterms:W3CDTF">2026-02-25T23:20:47Z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