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tlement Statement" sheetId="1" state="visible" r:id="rId1"/>
    <sheet xmlns:r="http://schemas.openxmlformats.org/officeDocument/2006/relationships" name="Security Deposit Transfer" sheetId="2" state="visible" r:id="rId2"/>
    <sheet xmlns:r="http://schemas.openxmlformats.org/officeDocument/2006/relationships" name="Tenant Notification" sheetId="3" state="visible" r:id="rId3"/>
  </sheets>
  <definedNames/>
  <calcPr calcId="124519" fullCalcOnLoad="1"/>
</workbook>
</file>

<file path=xl/styles.xml><?xml version="1.0" encoding="utf-8"?>
<styleSheet xmlns="http://schemas.openxmlformats.org/spreadsheetml/2006/main">
  <numFmts count="1">
    <numFmt numFmtId="164" formatCode="$#,##0"/>
  </numFmts>
  <fonts count="7">
    <font>
      <name val="Calibri"/>
      <family val="2"/>
      <color theme="1"/>
      <sz val="11"/>
      <scheme val="minor"/>
    </font>
    <font>
      <name val="Arial"/>
      <b val="1"/>
      <color rgb="001E3A5F"/>
      <sz val="14"/>
    </font>
    <font>
      <name val="Arial"/>
      <i val="1"/>
      <sz val="10"/>
    </font>
    <font>
      <name val="Arial"/>
      <b val="1"/>
      <color rgb="00FFFFFF"/>
      <sz val="10"/>
    </font>
    <font>
      <name val="Arial"/>
      <b val="1"/>
      <sz val="10"/>
    </font>
    <font>
      <name val="Arial"/>
      <sz val="10"/>
    </font>
    <font>
      <name val="Arial"/>
      <b val="1"/>
      <color rgb="001E3A5F"/>
      <sz val="11"/>
    </font>
  </fonts>
  <fills count="5">
    <fill>
      <patternFill/>
    </fill>
    <fill>
      <patternFill patternType="gray125"/>
    </fill>
    <fill>
      <patternFill patternType="solid">
        <fgColor rgb="001E3A5F"/>
        <bgColor rgb="001E3A5F"/>
      </patternFill>
    </fill>
    <fill>
      <patternFill patternType="solid">
        <fgColor rgb="00E8EEF4"/>
        <bgColor rgb="00E8EEF4"/>
      </patternFill>
    </fill>
    <fill>
      <patternFill patternType="solid">
        <fgColor rgb="00E8F5E9"/>
        <bgColor rgb="00E8F5E9"/>
      </patternFill>
    </fill>
  </fills>
  <borders count="3">
    <border>
      <left/>
      <right/>
      <top/>
      <bottom/>
      <diagonal/>
    </border>
    <border>
      <left style="thin"/>
      <right style="thin"/>
      <top style="thin"/>
      <bottom style="thin"/>
    </border>
    <border>
      <left style="thin"/>
      <right style="thin"/>
      <top style="medium"/>
      <bottom style="double"/>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4" fillId="3" borderId="1" pivotButton="0" quotePrefix="0" xfId="0"/>
    <xf numFmtId="0" fontId="5" fillId="0" borderId="1" pivotButton="0" quotePrefix="0" xfId="0"/>
    <xf numFmtId="164" fontId="5" fillId="0" borderId="1" pivotButton="0" quotePrefix="0" xfId="0"/>
    <xf numFmtId="0" fontId="0" fillId="0" borderId="1" pivotButton="0" quotePrefix="0" xfId="0"/>
    <xf numFmtId="0" fontId="4" fillId="4" borderId="2" pivotButton="0" quotePrefix="0" xfId="0"/>
    <xf numFmtId="164" fontId="4" fillId="4" borderId="2" pivotButton="0" quotePrefix="0" xfId="0"/>
    <xf numFmtId="0" fontId="4" fillId="0" borderId="2" pivotButton="0" quotePrefix="0" xfId="0"/>
    <xf numFmtId="164" fontId="4" fillId="0" borderId="2" pivotButton="0" quotePrefix="0" xfId="0"/>
    <xf numFmtId="0" fontId="5" fillId="0" borderId="0" applyAlignment="1" pivotButton="0" quotePrefix="0" xfId="0">
      <alignment vertical="top" wrapText="1"/>
    </xf>
    <xf numFmtId="0" fontId="5" fillId="0" borderId="0" pivotButton="0" quotePrefix="0" xfId="0"/>
    <xf numFmtId="0" fontId="1" fillId="0" borderId="0" pivotButton="0" quotePrefix="0" xfId="0"/>
    <xf numFmtId="0" fontId="2"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8" customWidth="1" min="3" max="3"/>
    <col width="18" customWidth="1" min="4" max="4"/>
  </cols>
  <sheetData>
    <row r="1">
      <c r="A1" s="1" t="inlineStr">
        <is>
          <t>CLOSING SETTLEMENT STATEMENT</t>
        </is>
      </c>
    </row>
    <row r="2">
      <c r="A2" s="2" t="inlineStr">
        <is>
          <t>Palm Bay Palms Apartments - 2750 Malabar Road SE, Palm Bay, FL 32907</t>
        </is>
      </c>
    </row>
    <row r="3">
      <c r="A3" s="2" t="inlineStr">
        <is>
          <t>Closing Date: March 15, 2026</t>
        </is>
      </c>
    </row>
    <row r="5">
      <c r="A5" s="3" t="inlineStr"/>
      <c r="B5" s="3" t="inlineStr">
        <is>
          <t>Description</t>
        </is>
      </c>
      <c r="C5" s="3" t="inlineStr">
        <is>
          <t>Buyer</t>
        </is>
      </c>
      <c r="D5" s="3" t="inlineStr">
        <is>
          <t>Seller</t>
        </is>
      </c>
    </row>
    <row r="6">
      <c r="A6" s="4" t="inlineStr"/>
      <c r="B6" s="4" t="inlineStr">
        <is>
          <t>PURCHASE PRICE</t>
        </is>
      </c>
      <c r="C6" s="4" t="inlineStr"/>
      <c r="D6" s="4" t="inlineStr"/>
    </row>
    <row r="7">
      <c r="A7" s="5" t="inlineStr"/>
      <c r="B7" s="5" t="inlineStr">
        <is>
          <t>Purchase Price</t>
        </is>
      </c>
      <c r="C7" s="6" t="n">
        <v>1950000</v>
      </c>
      <c r="D7" s="6" t="n">
        <v>1950000</v>
      </c>
    </row>
    <row r="8">
      <c r="A8" s="7" t="n"/>
      <c r="B8" s="7" t="n"/>
      <c r="C8" s="7" t="n"/>
      <c r="D8" s="7" t="n"/>
    </row>
    <row r="9">
      <c r="A9" s="4" t="inlineStr"/>
      <c r="B9" s="4" t="inlineStr">
        <is>
          <t>BUYER ADJUSTMENTS</t>
        </is>
      </c>
      <c r="C9" s="4" t="inlineStr"/>
      <c r="D9" s="4" t="inlineStr"/>
    </row>
    <row r="10">
      <c r="A10" s="5" t="inlineStr"/>
      <c r="B10" s="5" t="inlineStr">
        <is>
          <t xml:space="preserve">  Less: Earnest Money Deposit</t>
        </is>
      </c>
      <c r="C10" s="6" t="n">
        <v>-50000</v>
      </c>
      <c r="D10" s="6" t="n"/>
    </row>
    <row r="11">
      <c r="A11" s="7" t="n"/>
      <c r="B11" s="7" t="n"/>
      <c r="C11" s="7" t="n"/>
      <c r="D11" s="7" t="n"/>
    </row>
    <row r="12">
      <c r="A12" s="4" t="inlineStr"/>
      <c r="B12" s="4" t="inlineStr">
        <is>
          <t>PRORATED ITEMS</t>
        </is>
      </c>
      <c r="C12" s="4" t="inlineStr"/>
      <c r="D12" s="4" t="inlineStr"/>
    </row>
    <row r="13">
      <c r="A13" s="5" t="inlineStr"/>
      <c r="B13" s="5" t="inlineStr">
        <is>
          <t xml:space="preserve">  Property Tax Proration (Seller: Jan 1 - Mar 14, 73 days)</t>
        </is>
      </c>
      <c r="C13" s="6">
        <f>-18750*73/365</f>
        <v/>
      </c>
      <c r="D13" s="6">
        <f>-18750*73/365</f>
        <v/>
      </c>
    </row>
    <row r="14">
      <c r="A14" s="5" t="inlineStr"/>
      <c r="B14" s="5" t="inlineStr">
        <is>
          <t xml:space="preserve">  Rent Proration (Buyer: Mar 15-31, 17 days of 31)</t>
        </is>
      </c>
      <c r="C14" s="6">
        <f>-21000*17/31</f>
        <v/>
      </c>
      <c r="D14" s="6">
        <f>-21000*17/31</f>
        <v/>
      </c>
    </row>
    <row r="15">
      <c r="A15" s="5" t="inlineStr"/>
      <c r="B15" s="5" t="inlineStr">
        <is>
          <t xml:space="preserve">  Security Deposits Transferred to Buyer</t>
        </is>
      </c>
      <c r="C15" s="6">
        <f>-21000</f>
        <v/>
      </c>
      <c r="D15" s="6">
        <f>-21000</f>
        <v/>
      </c>
    </row>
    <row r="16">
      <c r="A16" s="7" t="n"/>
      <c r="B16" s="7" t="n"/>
      <c r="C16" s="7" t="n"/>
      <c r="D16" s="7" t="n"/>
    </row>
    <row r="17">
      <c r="A17" s="4" t="inlineStr"/>
      <c r="B17" s="4" t="inlineStr">
        <is>
          <t>BUYER CLOSING COSTS</t>
        </is>
      </c>
      <c r="C17" s="4" t="inlineStr"/>
      <c r="D17" s="4" t="inlineStr"/>
    </row>
    <row r="18">
      <c r="A18" s="5" t="inlineStr"/>
      <c r="B18" s="5" t="inlineStr">
        <is>
          <t xml:space="preserve">  Loan Origination Fee (1% of mortgage)</t>
        </is>
      </c>
      <c r="C18" s="6">
        <f>1950000*0.75*0.01</f>
        <v/>
      </c>
      <c r="D18" s="6" t="n"/>
    </row>
    <row r="19">
      <c r="A19" s="5" t="inlineStr"/>
      <c r="B19" s="5" t="inlineStr">
        <is>
          <t xml:space="preserve">  Appraisal Fee</t>
        </is>
      </c>
      <c r="C19" s="6" t="n">
        <v>3500</v>
      </c>
      <c r="D19" s="6" t="n"/>
    </row>
    <row r="20">
      <c r="A20" s="5" t="inlineStr"/>
      <c r="B20" s="5" t="inlineStr">
        <is>
          <t xml:space="preserve">  Inspection Fee</t>
        </is>
      </c>
      <c r="C20" s="6" t="n">
        <v>2800</v>
      </c>
      <c r="D20" s="6" t="n"/>
    </row>
    <row r="21">
      <c r="A21" s="5" t="inlineStr"/>
      <c r="B21" s="5" t="inlineStr">
        <is>
          <t xml:space="preserve">  Title Search Fee</t>
        </is>
      </c>
      <c r="C21" s="6" t="n">
        <v>1200</v>
      </c>
      <c r="D21" s="6" t="n"/>
    </row>
    <row r="22">
      <c r="A22" s="5" t="inlineStr"/>
      <c r="B22" s="5" t="inlineStr">
        <is>
          <t xml:space="preserve">  Survey Fee</t>
        </is>
      </c>
      <c r="C22" s="6" t="n">
        <v>2500</v>
      </c>
      <c r="D22" s="6" t="n"/>
    </row>
    <row r="23">
      <c r="A23" s="5" t="inlineStr"/>
      <c r="B23" s="5" t="inlineStr">
        <is>
          <t xml:space="preserve">  Recording Fees</t>
        </is>
      </c>
      <c r="C23" s="6" t="n">
        <v>250</v>
      </c>
      <c r="D23" s="6" t="n"/>
    </row>
    <row r="24">
      <c r="A24" s="5" t="inlineStr"/>
      <c r="B24" s="5" t="inlineStr">
        <is>
          <t xml:space="preserve">  Intangible Tax (FL 0.2% of mortgage)</t>
        </is>
      </c>
      <c r="C24" s="6">
        <f>1950000*0.75*0.002</f>
        <v/>
      </c>
      <c r="D24" s="6" t="n"/>
    </row>
    <row r="25">
      <c r="A25" s="7" t="n"/>
      <c r="B25" s="7" t="n"/>
      <c r="C25" s="7" t="n"/>
      <c r="D25" s="7" t="n"/>
    </row>
    <row r="26">
      <c r="A26" s="8" t="inlineStr"/>
      <c r="B26" s="8" t="inlineStr">
        <is>
          <t>BUYER TOTAL DUE AT CLOSING</t>
        </is>
      </c>
      <c r="C26" s="9">
        <f>C7+C10+C13+C14+C15+C18+C19+C20+C21+C22+C23+C24</f>
        <v/>
      </c>
      <c r="D26" s="9" t="n"/>
    </row>
    <row r="27">
      <c r="A27" s="7" t="n"/>
      <c r="B27" s="7" t="n"/>
      <c r="C27" s="7" t="n"/>
      <c r="D27" s="7" t="n"/>
    </row>
    <row r="28">
      <c r="A28" s="7" t="n"/>
      <c r="B28" s="7" t="n"/>
      <c r="C28" s="7" t="n"/>
      <c r="D28" s="7" t="n"/>
    </row>
    <row r="29">
      <c r="A29" s="4" t="inlineStr"/>
      <c r="B29" s="4" t="inlineStr">
        <is>
          <t>SELLER ADJUSTMENTS</t>
        </is>
      </c>
      <c r="C29" s="4" t="inlineStr"/>
      <c r="D29" s="4" t="inlineStr"/>
    </row>
    <row r="30">
      <c r="A30" s="5" t="inlineStr"/>
      <c r="B30" s="5" t="inlineStr">
        <is>
          <t xml:space="preserve">  Less: Mortgage Payoff</t>
        </is>
      </c>
      <c r="C30" s="6" t="n"/>
      <c r="D30" s="6" t="n">
        <v>-980000</v>
      </c>
    </row>
    <row r="31">
      <c r="A31" s="5" t="inlineStr"/>
      <c r="B31" s="5" t="inlineStr">
        <is>
          <t xml:space="preserve">  Less: Broker Commission (5%)</t>
        </is>
      </c>
      <c r="C31" s="6" t="n"/>
      <c r="D31" s="6">
        <f>-1950000*0.05</f>
        <v/>
      </c>
    </row>
    <row r="32">
      <c r="A32" s="5" t="inlineStr"/>
      <c r="B32" s="5" t="inlineStr">
        <is>
          <t xml:space="preserve">  Less: Title Insurance</t>
        </is>
      </c>
      <c r="C32" s="6" t="n"/>
      <c r="D32" s="6" t="n">
        <v>-4200</v>
      </c>
    </row>
    <row r="33">
      <c r="A33" s="5" t="inlineStr"/>
      <c r="B33" s="5" t="inlineStr">
        <is>
          <t xml:space="preserve">  Less: Code Enforcement Lien</t>
        </is>
      </c>
      <c r="C33" s="6" t="n"/>
      <c r="D33" s="6" t="n">
        <v>-1850</v>
      </c>
    </row>
    <row r="34">
      <c r="A34" s="5" t="inlineStr"/>
      <c r="B34" s="5" t="inlineStr">
        <is>
          <t xml:space="preserve">  Less: Documentary Stamps (FL $0.70/$100)</t>
        </is>
      </c>
      <c r="C34" s="6" t="n"/>
      <c r="D34" s="6">
        <f>-1950000*0.007</f>
        <v/>
      </c>
    </row>
    <row r="35">
      <c r="A35" s="5" t="inlineStr"/>
      <c r="B35" s="5" t="inlineStr">
        <is>
          <t xml:space="preserve">  Less: Recording Fees</t>
        </is>
      </c>
      <c r="C35" s="6" t="n"/>
      <c r="D35" s="6" t="n">
        <v>-250</v>
      </c>
    </row>
    <row r="36">
      <c r="A36" s="7" t="n"/>
      <c r="B36" s="7" t="n"/>
      <c r="C36" s="7" t="n"/>
      <c r="D36" s="7" t="n"/>
    </row>
    <row r="37">
      <c r="A37" s="8" t="inlineStr"/>
      <c r="B37" s="8" t="inlineStr">
        <is>
          <t>SELLER NET PROCEEDS</t>
        </is>
      </c>
      <c r="C37" s="9" t="n"/>
      <c r="D37" s="9">
        <f>D7+D30+D31+D32+D33+D34+D35+D13+D14+D15</f>
        <v/>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2"/>
  <sheetViews>
    <sheetView workbookViewId="0">
      <pane ySplit="4" topLeftCell="A5" activePane="bottomLeft" state="frozen"/>
      <selection pane="bottomLeft" activeCell="A1" sqref="A1"/>
    </sheetView>
  </sheetViews>
  <sheetFormatPr baseColWidth="8" defaultRowHeight="15"/>
  <cols>
    <col width="10" customWidth="1" min="1" max="1"/>
    <col width="30" customWidth="1" min="2" max="2"/>
    <col width="16" customWidth="1" min="3" max="3"/>
    <col width="18" customWidth="1" min="4" max="4"/>
  </cols>
  <sheetData>
    <row r="1">
      <c r="A1" s="1" t="inlineStr">
        <is>
          <t>SECURITY DEPOSIT TRANSFER SCHEDULE</t>
        </is>
      </c>
    </row>
    <row r="2">
      <c r="A2" s="2" t="inlineStr">
        <is>
          <t>Palm Bay Palms Apartments - 2750 Malabar Road SE, Palm Bay, FL 32907</t>
        </is>
      </c>
    </row>
    <row r="4">
      <c r="A4" s="3" t="inlineStr">
        <is>
          <t>Unit</t>
        </is>
      </c>
      <c r="B4" s="3" t="inlineStr">
        <is>
          <t>Tenant</t>
        </is>
      </c>
      <c r="C4" s="3" t="inlineStr">
        <is>
          <t>Monthly Rent</t>
        </is>
      </c>
      <c r="D4" s="3" t="inlineStr">
        <is>
          <t>Security Deposit</t>
        </is>
      </c>
    </row>
    <row r="5">
      <c r="A5" s="5" t="inlineStr">
        <is>
          <t>101</t>
        </is>
      </c>
      <c r="B5" s="5" t="inlineStr">
        <is>
          <t>Maria Santos</t>
        </is>
      </c>
      <c r="C5" s="6" t="n">
        <v>1050</v>
      </c>
      <c r="D5" s="6" t="n">
        <v>1050</v>
      </c>
    </row>
    <row r="6">
      <c r="A6" s="5" t="inlineStr">
        <is>
          <t>102</t>
        </is>
      </c>
      <c r="B6" s="5" t="inlineStr">
        <is>
          <t>James Wilson</t>
        </is>
      </c>
      <c r="C6" s="6" t="n">
        <v>1100</v>
      </c>
      <c r="D6" s="6" t="n">
        <v>1100</v>
      </c>
    </row>
    <row r="7">
      <c r="A7" s="5" t="inlineStr">
        <is>
          <t>103</t>
        </is>
      </c>
      <c r="B7" s="5" t="inlineStr">
        <is>
          <t>Tanya Brown</t>
        </is>
      </c>
      <c r="C7" s="6" t="n">
        <v>950</v>
      </c>
      <c r="D7" s="6" t="n">
        <v>950</v>
      </c>
    </row>
    <row r="8">
      <c r="A8" s="5" t="inlineStr">
        <is>
          <t>104</t>
        </is>
      </c>
      <c r="B8" s="5" t="inlineStr">
        <is>
          <t>Robert Chen</t>
        </is>
      </c>
      <c r="C8" s="6" t="n">
        <v>1150</v>
      </c>
      <c r="D8" s="6" t="n">
        <v>1150</v>
      </c>
    </row>
    <row r="9">
      <c r="A9" s="5" t="inlineStr">
        <is>
          <t>106</t>
        </is>
      </c>
      <c r="B9" s="5" t="inlineStr">
        <is>
          <t>Lisa Park</t>
        </is>
      </c>
      <c r="C9" s="6" t="n">
        <v>1000</v>
      </c>
      <c r="D9" s="6" t="n">
        <v>1000</v>
      </c>
    </row>
    <row r="10">
      <c r="A10" s="5" t="inlineStr">
        <is>
          <t>201</t>
        </is>
      </c>
      <c r="B10" s="5" t="inlineStr">
        <is>
          <t>David &amp; Ana Rodriguez</t>
        </is>
      </c>
      <c r="C10" s="6" t="n">
        <v>1350</v>
      </c>
      <c r="D10" s="6" t="n">
        <v>1350</v>
      </c>
    </row>
    <row r="11">
      <c r="A11" s="5" t="inlineStr">
        <is>
          <t>202</t>
        </is>
      </c>
      <c r="B11" s="5" t="inlineStr">
        <is>
          <t>Michael Turner</t>
        </is>
      </c>
      <c r="C11" s="6" t="n">
        <v>1400</v>
      </c>
      <c r="D11" s="6" t="n">
        <v>1400</v>
      </c>
    </row>
    <row r="12">
      <c r="A12" s="5" t="inlineStr">
        <is>
          <t>203</t>
        </is>
      </c>
      <c r="B12" s="5" t="inlineStr">
        <is>
          <t>Sarah Johnson</t>
        </is>
      </c>
      <c r="C12" s="6" t="n">
        <v>1250</v>
      </c>
      <c r="D12" s="6" t="n">
        <v>1250</v>
      </c>
    </row>
    <row r="13">
      <c r="A13" s="5" t="inlineStr">
        <is>
          <t>204</t>
        </is>
      </c>
      <c r="B13" s="5" t="inlineStr">
        <is>
          <t>Kevin Lee</t>
        </is>
      </c>
      <c r="C13" s="6" t="n">
        <v>1300</v>
      </c>
      <c r="D13" s="6" t="n">
        <v>1300</v>
      </c>
    </row>
    <row r="14">
      <c r="A14" s="5" t="inlineStr">
        <is>
          <t>205</t>
        </is>
      </c>
      <c r="B14" s="5" t="inlineStr">
        <is>
          <t>Patricia Martinez</t>
        </is>
      </c>
      <c r="C14" s="6" t="n">
        <v>1350</v>
      </c>
      <c r="D14" s="6" t="n">
        <v>1350</v>
      </c>
    </row>
    <row r="15">
      <c r="A15" s="5" t="inlineStr">
        <is>
          <t>207</t>
        </is>
      </c>
      <c r="B15" s="5" t="inlineStr">
        <is>
          <t>Anthony Williams</t>
        </is>
      </c>
      <c r="C15" s="6" t="n">
        <v>1200</v>
      </c>
      <c r="D15" s="6" t="n">
        <v>1200</v>
      </c>
    </row>
    <row r="16">
      <c r="A16" s="5" t="inlineStr">
        <is>
          <t>208</t>
        </is>
      </c>
      <c r="B16" s="5" t="inlineStr">
        <is>
          <t>Jennifer Davis</t>
        </is>
      </c>
      <c r="C16" s="6" t="n">
        <v>1400</v>
      </c>
      <c r="D16" s="6" t="n">
        <v>1400</v>
      </c>
    </row>
    <row r="17">
      <c r="A17" s="5" t="inlineStr">
        <is>
          <t>301</t>
        </is>
      </c>
      <c r="B17" s="5" t="inlineStr">
        <is>
          <t>The Nguyen Family</t>
        </is>
      </c>
      <c r="C17" s="6" t="n">
        <v>1650</v>
      </c>
      <c r="D17" s="6" t="n">
        <v>1650</v>
      </c>
    </row>
    <row r="18">
      <c r="A18" s="5" t="inlineStr">
        <is>
          <t>302</t>
        </is>
      </c>
      <c r="B18" s="5" t="inlineStr">
        <is>
          <t>Carlos &amp; Maria Gonzalez</t>
        </is>
      </c>
      <c r="C18" s="6" t="n">
        <v>1700</v>
      </c>
      <c r="D18" s="6" t="n">
        <v>1700</v>
      </c>
    </row>
    <row r="19">
      <c r="A19" s="5" t="inlineStr">
        <is>
          <t>303</t>
        </is>
      </c>
      <c r="B19" s="5" t="inlineStr">
        <is>
          <t>Derek Thompson</t>
        </is>
      </c>
      <c r="C19" s="6" t="n">
        <v>1550</v>
      </c>
      <c r="D19" s="6" t="n">
        <v>1550</v>
      </c>
    </row>
    <row r="20">
      <c r="A20" s="5" t="inlineStr">
        <is>
          <t>304</t>
        </is>
      </c>
      <c r="B20" s="5" t="inlineStr">
        <is>
          <t>Amanda Foster</t>
        </is>
      </c>
      <c r="C20" s="6" t="n">
        <v>1600</v>
      </c>
      <c r="D20" s="6" t="n">
        <v>1600</v>
      </c>
    </row>
    <row r="21">
      <c r="A21" s="10" t="inlineStr"/>
      <c r="B21" s="10" t="inlineStr">
        <is>
          <t>TOTAL</t>
        </is>
      </c>
      <c r="C21" s="11">
        <f>SUM(C5:C20)</f>
        <v/>
      </c>
      <c r="D21" s="11">
        <f>SUM(D5:D20)</f>
        <v/>
      </c>
    </row>
    <row r="23">
      <c r="A23" s="12" t="inlineStr">
        <is>
          <t>SECURITY DEPOSIT TRANSFER ACKNOWLEDGMENT
The undersigned Buyer acknowledges receipt of the above-listed security deposits totaling $21,000, which Buyer assumes responsibility for per Florida Statute 83.49. Buyer agrees to hold deposits in compliance with FL 83.49 and to notify all tenants within 30 days of the new deposit holding information.</t>
        </is>
      </c>
    </row>
    <row r="24"/>
    <row r="25"/>
    <row r="26"/>
    <row r="27"/>
    <row r="28"/>
    <row r="30">
      <c r="A30" s="13" t="inlineStr">
        <is>
          <t>Buyer: _________________________</t>
        </is>
      </c>
      <c r="C30" s="13" t="inlineStr">
        <is>
          <t>Date: _______</t>
        </is>
      </c>
    </row>
    <row r="32">
      <c r="A32" s="13" t="inlineStr">
        <is>
          <t>Seller: _________________________</t>
        </is>
      </c>
      <c r="C32" s="13" t="inlineStr">
        <is>
          <t>Date: _______</t>
        </is>
      </c>
    </row>
  </sheetData>
  <mergeCells count="3">
    <mergeCell ref="A1:D1"/>
    <mergeCell ref="A23:D28"/>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pane ySplit="32" topLeftCell="A33" activePane="bottomLeft" state="frozen"/>
      <selection pane="bottomLeft" activeCell="A1" sqref="A1"/>
    </sheetView>
  </sheetViews>
  <sheetFormatPr baseColWidth="8" defaultRowHeight="15"/>
  <cols>
    <col width="10" customWidth="1" min="1" max="1"/>
    <col width="30" customWidth="1" min="2" max="2"/>
    <col width="18" customWidth="1" min="3" max="3"/>
    <col width="16" customWidth="1" min="4" max="4"/>
  </cols>
  <sheetData>
    <row r="1">
      <c r="A1" s="14" t="inlineStr">
        <is>
          <t>TENANT NOTIFICATION TEMPLATE</t>
        </is>
      </c>
    </row>
    <row r="2">
      <c r="A2" s="15" t="inlineStr">
        <is>
          <t>Per Florida Statute 83.50 - Change of Ownership Notice</t>
        </is>
      </c>
    </row>
    <row r="4">
      <c r="A4" s="12" t="inlineStr">
        <is>
          <t>[DATE]
Dear [TENANT NAME],
RE: Change of Ownership — Unit [UNIT NUMBER], 2750 Malabar Road SE, Palm Bay, FL 32907
This letter is to notify you that effective [CLOSING DATE], ownership of the property at the above address has been transferred from Sunshine Palms Holdings LLC to [NEW OWNER NAME].
Pursuant to Florida Statute 83.50, please be advised of the following:
1. Your new landlord is: [NEW OWNER NAME]
2. Your new rent payment address is: [NEW ADDRESS]
3. Your security deposit of $[DEPOSIT AMOUNT] has been transferred to and is now held by the new owner.
4. All terms and conditions of your existing lease remain in full force and effect.
5. Your next rent payment should be made to the new owner at the address above.
If you have any questions, please contact [NEW OWNER CONTACT] at [PHONE/EMAIL].
Sincerely,
_________________________
[NEW OWNER NAME]
New Property Owner</t>
        </is>
      </c>
    </row>
    <row r="5"/>
    <row r="6"/>
    <row r="7"/>
    <row r="8"/>
    <row r="9"/>
    <row r="10"/>
    <row r="11"/>
    <row r="12"/>
    <row r="13"/>
    <row r="14"/>
    <row r="15"/>
    <row r="16"/>
    <row r="17"/>
    <row r="18"/>
    <row r="19"/>
    <row r="20"/>
    <row r="21"/>
    <row r="22"/>
    <row r="23"/>
    <row r="24"/>
    <row r="25"/>
    <row r="26"/>
    <row r="27"/>
    <row r="28"/>
    <row r="31">
      <c r="A31" s="16" t="inlineStr">
        <is>
          <t>TENANT REFERENCE TABLE</t>
        </is>
      </c>
    </row>
    <row r="32">
      <c r="A32" s="3" t="inlineStr">
        <is>
          <t>Unit</t>
        </is>
      </c>
      <c r="B32" s="3" t="inlineStr">
        <is>
          <t>Tenant Name</t>
        </is>
      </c>
      <c r="C32" s="3" t="inlineStr">
        <is>
          <t>Security Deposit</t>
        </is>
      </c>
      <c r="D32" s="3" t="inlineStr">
        <is>
          <t>Lease Expiration</t>
        </is>
      </c>
    </row>
    <row r="33">
      <c r="A33" s="5" t="inlineStr">
        <is>
          <t>101</t>
        </is>
      </c>
      <c r="B33" s="5" t="inlineStr">
        <is>
          <t>Maria Santos</t>
        </is>
      </c>
      <c r="C33" s="6" t="n">
        <v>1050</v>
      </c>
      <c r="D33" s="5" t="inlineStr">
        <is>
          <t>2026-08-31</t>
        </is>
      </c>
    </row>
    <row r="34">
      <c r="A34" s="5" t="inlineStr">
        <is>
          <t>102</t>
        </is>
      </c>
      <c r="B34" s="5" t="inlineStr">
        <is>
          <t>James Wilson</t>
        </is>
      </c>
      <c r="C34" s="6" t="n">
        <v>1100</v>
      </c>
      <c r="D34" s="5" t="inlineStr">
        <is>
          <t>2026-05-31</t>
        </is>
      </c>
    </row>
    <row r="35">
      <c r="A35" s="5" t="inlineStr">
        <is>
          <t>103</t>
        </is>
      </c>
      <c r="B35" s="5" t="inlineStr">
        <is>
          <t>Tanya Brown</t>
        </is>
      </c>
      <c r="C35" s="6" t="n">
        <v>950</v>
      </c>
      <c r="D35" s="5" t="inlineStr">
        <is>
          <t>MTM</t>
        </is>
      </c>
    </row>
    <row r="36">
      <c r="A36" s="5" t="inlineStr">
        <is>
          <t>104</t>
        </is>
      </c>
      <c r="B36" s="5" t="inlineStr">
        <is>
          <t>Robert Chen</t>
        </is>
      </c>
      <c r="C36" s="6" t="n">
        <v>1150</v>
      </c>
      <c r="D36" s="5" t="inlineStr">
        <is>
          <t>2026-11-30</t>
        </is>
      </c>
    </row>
    <row r="37">
      <c r="A37" s="5" t="inlineStr">
        <is>
          <t>106</t>
        </is>
      </c>
      <c r="B37" s="5" t="inlineStr">
        <is>
          <t>Lisa Park</t>
        </is>
      </c>
      <c r="C37" s="6" t="n">
        <v>1000</v>
      </c>
      <c r="D37" s="5" t="inlineStr">
        <is>
          <t>MTM</t>
        </is>
      </c>
    </row>
    <row r="38">
      <c r="A38" s="5" t="inlineStr">
        <is>
          <t>201</t>
        </is>
      </c>
      <c r="B38" s="5" t="inlineStr">
        <is>
          <t>David &amp; Ana Rodriguez</t>
        </is>
      </c>
      <c r="C38" s="6" t="n">
        <v>1350</v>
      </c>
      <c r="D38" s="5" t="inlineStr">
        <is>
          <t>2026-09-30</t>
        </is>
      </c>
    </row>
    <row r="39">
      <c r="A39" s="5" t="inlineStr">
        <is>
          <t>202</t>
        </is>
      </c>
      <c r="B39" s="5" t="inlineStr">
        <is>
          <t>Michael Turner</t>
        </is>
      </c>
      <c r="C39" s="6" t="n">
        <v>1400</v>
      </c>
      <c r="D39" s="5" t="inlineStr">
        <is>
          <t>2027-01-31</t>
        </is>
      </c>
    </row>
    <row r="40">
      <c r="A40" s="5" t="inlineStr">
        <is>
          <t>203</t>
        </is>
      </c>
      <c r="B40" s="5" t="inlineStr">
        <is>
          <t>Sarah Johnson</t>
        </is>
      </c>
      <c r="C40" s="6" t="n">
        <v>1250</v>
      </c>
      <c r="D40" s="5" t="inlineStr">
        <is>
          <t>2026-04-30</t>
        </is>
      </c>
    </row>
    <row r="41">
      <c r="A41" s="5" t="inlineStr">
        <is>
          <t>204</t>
        </is>
      </c>
      <c r="B41" s="5" t="inlineStr">
        <is>
          <t>Kevin Lee</t>
        </is>
      </c>
      <c r="C41" s="6" t="n">
        <v>1300</v>
      </c>
      <c r="D41" s="5" t="inlineStr">
        <is>
          <t>MTM</t>
        </is>
      </c>
    </row>
    <row r="42">
      <c r="A42" s="5" t="inlineStr">
        <is>
          <t>205</t>
        </is>
      </c>
      <c r="B42" s="5" t="inlineStr">
        <is>
          <t>Patricia Martinez</t>
        </is>
      </c>
      <c r="C42" s="6" t="n">
        <v>1350</v>
      </c>
      <c r="D42" s="5" t="inlineStr">
        <is>
          <t>2026-12-31</t>
        </is>
      </c>
    </row>
    <row r="43">
      <c r="A43" s="5" t="inlineStr">
        <is>
          <t>207</t>
        </is>
      </c>
      <c r="B43" s="5" t="inlineStr">
        <is>
          <t>Anthony Williams</t>
        </is>
      </c>
      <c r="C43" s="6" t="n">
        <v>1200</v>
      </c>
      <c r="D43" s="5" t="inlineStr">
        <is>
          <t>MTM</t>
        </is>
      </c>
    </row>
    <row r="44">
      <c r="A44" s="5" t="inlineStr">
        <is>
          <t>208</t>
        </is>
      </c>
      <c r="B44" s="5" t="inlineStr">
        <is>
          <t>Jennifer Davis</t>
        </is>
      </c>
      <c r="C44" s="6" t="n">
        <v>1400</v>
      </c>
      <c r="D44" s="5" t="inlineStr">
        <is>
          <t>2026-07-31</t>
        </is>
      </c>
    </row>
    <row r="45">
      <c r="A45" s="5" t="inlineStr">
        <is>
          <t>301</t>
        </is>
      </c>
      <c r="B45" s="5" t="inlineStr">
        <is>
          <t>The Nguyen Family</t>
        </is>
      </c>
      <c r="C45" s="6" t="n">
        <v>1650</v>
      </c>
      <c r="D45" s="5" t="inlineStr">
        <is>
          <t>2026-10-31</t>
        </is>
      </c>
    </row>
    <row r="46">
      <c r="A46" s="5" t="inlineStr">
        <is>
          <t>302</t>
        </is>
      </c>
      <c r="B46" s="5" t="inlineStr">
        <is>
          <t>Carlos &amp; Maria Gonzalez</t>
        </is>
      </c>
      <c r="C46" s="6" t="n">
        <v>1700</v>
      </c>
      <c r="D46" s="5" t="inlineStr">
        <is>
          <t>2027-03-31</t>
        </is>
      </c>
    </row>
    <row r="47">
      <c r="A47" s="5" t="inlineStr">
        <is>
          <t>303</t>
        </is>
      </c>
      <c r="B47" s="5" t="inlineStr">
        <is>
          <t>Derek Thompson</t>
        </is>
      </c>
      <c r="C47" s="6" t="n">
        <v>1550</v>
      </c>
      <c r="D47" s="5" t="inlineStr">
        <is>
          <t>MTM</t>
        </is>
      </c>
    </row>
    <row r="48">
      <c r="A48" s="5" t="inlineStr">
        <is>
          <t>304</t>
        </is>
      </c>
      <c r="B48" s="5" t="inlineStr">
        <is>
          <t>Amanda Foster</t>
        </is>
      </c>
      <c r="C48" s="6" t="n">
        <v>1600</v>
      </c>
      <c r="D48" s="5" t="inlineStr">
        <is>
          <t>2026-06-30</t>
        </is>
      </c>
    </row>
  </sheetData>
  <mergeCells count="1">
    <mergeCell ref="A4:A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2026-02-25T23:34:15Z</dcterms:created>
  <dcterms:modified xmlns:dcterms="http://purl.org/dc/terms/" xmlns:xsi="http://www.w3.org/2001/XMLSchema-instance" xsi:type="dcterms:W3CDTF">2026-02-25T23:34:15Z</dcterms:modified>
</cp:coreProperties>
</file>