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lement Statement" sheetId="1" state="visible" r:id="rId3"/>
    <sheet name="Security Deposit Transfer" sheetId="2" state="visible" r:id="rId4"/>
    <sheet name="Tenant Notific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<sst xmlns="http://schemas.openxmlformats.org/spreadsheetml/2006/main" count="88" uniqueCount="88">
  <si>
    <t xml:space="preserve">SETTLEMENT STATEMENT</t>
  </si>
  <si>
    <t xml:space="preserve">Palm Bay Palms Apartments | 2750 Malabar Road SE, Palm Bay, FL 32907</t>
  </si>
  <si>
    <t xml:space="preserve">Closing Date: March 31, 2026</t>
  </si>
  <si>
    <t xml:space="preserve">Item</t>
  </si>
  <si>
    <t xml:space="preserve">Buyer (Debit)</t>
  </si>
  <si>
    <t xml:space="preserve">Buyer (Credit)</t>
  </si>
  <si>
    <t xml:space="preserve">Seller (Debit)</t>
  </si>
  <si>
    <t xml:space="preserve">Seller (Credit)</t>
  </si>
  <si>
    <t xml:space="preserve">Purchase Price</t>
  </si>
  <si>
    <t xml:space="preserve">Earnest Money Deposit</t>
  </si>
  <si>
    <t xml:space="preserve">PRORATIONS</t>
  </si>
  <si>
    <t xml:space="preserve">Property Taxes (Jan 1 - Mar 31 = 90/365)</t>
  </si>
  <si>
    <t xml:space="preserve">  Seller owes buyer prorated taxes</t>
  </si>
  <si>
    <t xml:space="preserve">Rent Collected (March - prorated)</t>
  </si>
  <si>
    <t xml:space="preserve">Security Deposits Transferred</t>
  </si>
  <si>
    <t xml:space="preserve">SELLER DEBITS</t>
  </si>
  <si>
    <t xml:space="preserve">Mortgage Payoff (First Southern Bank)</t>
  </si>
  <si>
    <t xml:space="preserve">Commission (5%)</t>
  </si>
  <si>
    <t xml:space="preserve">Title Insurance</t>
  </si>
  <si>
    <t xml:space="preserve">Code Enforcement Lien</t>
  </si>
  <si>
    <t xml:space="preserve">Documentary Stamps ($0.70/$100)</t>
  </si>
  <si>
    <t xml:space="preserve">Recording Fees</t>
  </si>
  <si>
    <t xml:space="preserve">BUYER DEBITS</t>
  </si>
  <si>
    <t xml:space="preserve">Loan Origination (1%)</t>
  </si>
  <si>
    <t xml:space="preserve">Appraisal Fee</t>
  </si>
  <si>
    <t xml:space="preserve">Inspection Fee</t>
  </si>
  <si>
    <t xml:space="preserve">Title Search</t>
  </si>
  <si>
    <t xml:space="preserve">Survey</t>
  </si>
  <si>
    <t xml:space="preserve">Intangible Tax (0.2%)</t>
  </si>
  <si>
    <t xml:space="preserve">TOTALS</t>
  </si>
  <si>
    <t xml:space="preserve">BUYER DUE AT CLOSING</t>
  </si>
  <si>
    <t xml:space="preserve">SELLER NET PROCEEDS</t>
  </si>
  <si>
    <t xml:space="preserve">SECURITY DEPOSIT TRANSFER SCHEDULE</t>
  </si>
  <si>
    <t xml:space="preserve">Unit #</t>
  </si>
  <si>
    <t xml:space="preserve">Tenant Name</t>
  </si>
  <si>
    <t xml:space="preserve">Deposit Amount</t>
  </si>
  <si>
    <t xml:space="preserve">101</t>
  </si>
  <si>
    <t xml:space="preserve">Maria Santos</t>
  </si>
  <si>
    <t xml:space="preserve">102</t>
  </si>
  <si>
    <t xml:space="preserve">James Wilson</t>
  </si>
  <si>
    <t xml:space="preserve">103</t>
  </si>
  <si>
    <t xml:space="preserve">Tanya Brown</t>
  </si>
  <si>
    <t xml:space="preserve">104</t>
  </si>
  <si>
    <t xml:space="preserve">Robert Chen</t>
  </si>
  <si>
    <t xml:space="preserve">106</t>
  </si>
  <si>
    <t xml:space="preserve">Lisa Park</t>
  </si>
  <si>
    <t xml:space="preserve">201</t>
  </si>
  <si>
    <t xml:space="preserve">David &amp; Ana Rodriguez</t>
  </si>
  <si>
    <t xml:space="preserve">202</t>
  </si>
  <si>
    <t xml:space="preserve">Michael Turner</t>
  </si>
  <si>
    <t xml:space="preserve">203</t>
  </si>
  <si>
    <t xml:space="preserve">Sarah Johnson</t>
  </si>
  <si>
    <t xml:space="preserve">204</t>
  </si>
  <si>
    <t xml:space="preserve">Kevin Lee</t>
  </si>
  <si>
    <t xml:space="preserve">205</t>
  </si>
  <si>
    <t xml:space="preserve">Patricia Martinez</t>
  </si>
  <si>
    <t xml:space="preserve">207</t>
  </si>
  <si>
    <t xml:space="preserve">Anthony Williams</t>
  </si>
  <si>
    <t xml:space="preserve">208</t>
  </si>
  <si>
    <t xml:space="preserve">Jennifer Davis</t>
  </si>
  <si>
    <t xml:space="preserve">301</t>
  </si>
  <si>
    <t xml:space="preserve">The Nguyen Family</t>
  </si>
  <si>
    <t xml:space="preserve">302</t>
  </si>
  <si>
    <t xml:space="preserve">Carlos &amp; Maria Gonzalez</t>
  </si>
  <si>
    <t xml:space="preserve">303</t>
  </si>
  <si>
    <t xml:space="preserve">Derek Thompson</t>
  </si>
  <si>
    <t xml:space="preserve">304</t>
  </si>
  <si>
    <t xml:space="preserve">Amanda Foster</t>
  </si>
  <si>
    <t xml:space="preserve">TOTAL</t>
  </si>
  <si>
    <t xml:space="preserve">TENANT NOTIFICATION TEMPLATE</t>
  </si>
  <si>
    <t xml:space="preserve">Per Florida Statute 83.50 - Notice of Change of Ownership</t>
  </si>
  <si>
    <t xml:space="preserve">[DATE]</t>
  </si>
  <si>
    <t xml:space="preserve">Dear [TENANT NAME],</t>
  </si>
  <si>
    <t xml:space="preserve">RE: Notice of Change of Ownership - Unit [UNIT #], 2750 Malabar Road SE, Palm Bay, FL 32907</t>
  </si>
  <si>
    <t xml:space="preserve">This letter is to inform you that effective [CLOSING DATE], the ownership of the property located at 2750 Malabar Road SE, Palm Bay, FL 32907 has been transferred from Sunshine Palms Holdings LLC to [NEW OWNER NAME/ENTITY].</t>
  </si>
  <si>
    <t xml:space="preserve">Pursuant to Florida Statute 83.50, please be advised of the following:</t>
  </si>
  <si>
    <t xml:space="preserve">1. NEW OWNER: [NEW OWNER NAME/ENTITY]</t>
  </si>
  <si>
    <t xml:space="preserve">2. NEW MANAGEMENT CONTACT: [CONTACT NAME], [PHONE], [EMAIL]</t>
  </si>
  <si>
    <t xml:space="preserve">3. RENT PAYMENT: Effective [FIRST RENT DATE], please remit monthly rent to:</t>
  </si>
  <si>
    <t xml:space="preserve">   [NEW PAYMENT ADDRESS OR INSTRUCTIONS]</t>
  </si>
  <si>
    <t xml:space="preserve">4. SECURITY DEPOSIT: Your security deposit of $[AMOUNT] has been transferred to the new owner and will continue to be held in accordance with Florida Statute 83.49.</t>
  </si>
  <si>
    <t xml:space="preserve">5. LEASE TERMS: Your existing lease remains in full force and effect. All terms and conditions are unchanged.</t>
  </si>
  <si>
    <t xml:space="preserve">6. MAINTENANCE REQUESTS: Please direct all maintenance requests to [CONTACT INFO].</t>
  </si>
  <si>
    <t xml:space="preserve">Your cooperation during this transition is appreciated. If you have questions, please contact [CONTACT NAME] at [PHONE].</t>
  </si>
  <si>
    <t xml:space="preserve">Sincerely,</t>
  </si>
  <si>
    <t xml:space="preserve">_________________________________</t>
  </si>
  <si>
    <t xml:space="preserve">[NEW OWNER NAME/ENTITY]</t>
  </si>
  <si>
    <t xml:space="preserve">New Owner/Managing Member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</si>
</sst>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3A5F"/>
      <name val="Arial"/>
      <family val="0"/>
      <charset val="1"/>
    </font>
    <font>
      <sz val="10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E3A5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FF3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6" t="n">
        <v>1950000</v>
      </c>
      <c r="C6" s="6"/>
      <c r="D6" s="6"/>
      <c r="E6" s="6" t="n">
        <v>1950000</v>
      </c>
    </row>
    <row r="7" customFormat="false" ht="15" hidden="false" customHeight="false" outlineLevel="0" collapsed="false">
      <c r="A7" s="7" t="s">
        <v>9</v>
      </c>
      <c r="B7" s="6"/>
      <c r="C7" s="6" t="n">
        <v>50000</v>
      </c>
      <c r="D7" s="6"/>
      <c r="E7" s="6"/>
    </row>
    <row r="8" customFormat="false" ht="15" hidden="false" customHeight="false" outlineLevel="0" collapsed="false">
      <c r="A8" s="7"/>
      <c r="B8" s="6"/>
      <c r="C8" s="6"/>
      <c r="D8" s="6"/>
      <c r="E8" s="6"/>
    </row>
    <row r="9" customFormat="false" ht="15" hidden="false" customHeight="false" outlineLevel="0" collapsed="false">
      <c r="A9" s="5" t="s">
        <v>10</v>
      </c>
      <c r="B9" s="6"/>
      <c r="C9" s="6"/>
      <c r="D9" s="6"/>
      <c r="E9" s="6"/>
    </row>
    <row r="10" customFormat="false" ht="15" hidden="false" customHeight="false" outlineLevel="0" collapsed="false">
      <c r="A10" s="7" t="s">
        <v>11</v>
      </c>
      <c r="B10" s="6"/>
      <c r="C10" s="6"/>
      <c r="D10" s="6" t="n">
        <f aca="false">ROUND(18750*90/365,0)</f>
        <v>4623</v>
      </c>
      <c r="E10" s="6"/>
    </row>
    <row r="11" customFormat="false" ht="15" hidden="false" customHeight="false" outlineLevel="0" collapsed="false">
      <c r="A11" s="7" t="s">
        <v>12</v>
      </c>
      <c r="B11" s="6"/>
      <c r="C11" s="6" t="n">
        <f aca="false">ROUND(18750*90/365,0)</f>
        <v>4623</v>
      </c>
      <c r="D11" s="6"/>
      <c r="E11" s="6"/>
    </row>
    <row r="12" customFormat="false" ht="15" hidden="false" customHeight="false" outlineLevel="0" collapsed="false">
      <c r="A12" s="7" t="s">
        <v>13</v>
      </c>
      <c r="B12" s="6"/>
      <c r="C12" s="6" t="n">
        <v>20900</v>
      </c>
      <c r="D12" s="6" t="n">
        <v>20900</v>
      </c>
      <c r="E12" s="6"/>
    </row>
    <row r="13" customFormat="false" ht="15" hidden="false" customHeight="false" outlineLevel="0" collapsed="false">
      <c r="A13" s="7" t="s">
        <v>14</v>
      </c>
      <c r="B13" s="6"/>
      <c r="C13" s="6" t="n">
        <v>21000</v>
      </c>
      <c r="D13" s="6" t="n">
        <v>21000</v>
      </c>
      <c r="E13" s="6"/>
    </row>
    <row r="14" customFormat="false" ht="15" hidden="false" customHeight="false" outlineLevel="0" collapsed="false">
      <c r="A14" s="7"/>
      <c r="B14" s="6"/>
      <c r="C14" s="6"/>
      <c r="D14" s="6"/>
      <c r="E14" s="6"/>
    </row>
    <row r="15" customFormat="false" ht="15" hidden="false" customHeight="false" outlineLevel="0" collapsed="false">
      <c r="A15" s="5" t="s">
        <v>15</v>
      </c>
      <c r="B15" s="6"/>
      <c r="C15" s="6"/>
      <c r="D15" s="6"/>
      <c r="E15" s="6"/>
    </row>
    <row r="16" customFormat="false" ht="15" hidden="false" customHeight="false" outlineLevel="0" collapsed="false">
      <c r="A16" s="7" t="s">
        <v>16</v>
      </c>
      <c r="B16" s="6"/>
      <c r="C16" s="6"/>
      <c r="D16" s="6" t="n">
        <v>980000</v>
      </c>
      <c r="E16" s="6"/>
    </row>
    <row r="17" customFormat="false" ht="15" hidden="false" customHeight="false" outlineLevel="0" collapsed="false">
      <c r="A17" s="7" t="s">
        <v>17</v>
      </c>
      <c r="B17" s="6"/>
      <c r="C17" s="6"/>
      <c r="D17" s="6" t="n">
        <f aca="false">ROUND(1950000*0.05,0)</f>
        <v>97500</v>
      </c>
      <c r="E17" s="6"/>
    </row>
    <row r="18" customFormat="false" ht="15" hidden="false" customHeight="false" outlineLevel="0" collapsed="false">
      <c r="A18" s="7" t="s">
        <v>18</v>
      </c>
      <c r="B18" s="6"/>
      <c r="C18" s="6"/>
      <c r="D18" s="6" t="n">
        <v>4200</v>
      </c>
      <c r="E18" s="6"/>
    </row>
    <row r="19" customFormat="false" ht="15" hidden="false" customHeight="false" outlineLevel="0" collapsed="false">
      <c r="A19" s="7" t="s">
        <v>19</v>
      </c>
      <c r="B19" s="6"/>
      <c r="C19" s="6"/>
      <c r="D19" s="6" t="n">
        <v>1850</v>
      </c>
      <c r="E19" s="6"/>
    </row>
    <row r="20" customFormat="false" ht="15" hidden="false" customHeight="false" outlineLevel="0" collapsed="false">
      <c r="A20" s="7" t="s">
        <v>20</v>
      </c>
      <c r="B20" s="6"/>
      <c r="C20" s="6"/>
      <c r="D20" s="6" t="n">
        <f aca="false">ROUND(1950000/100*0.7,0)</f>
        <v>13650</v>
      </c>
      <c r="E20" s="6"/>
    </row>
    <row r="21" customFormat="false" ht="15" hidden="false" customHeight="false" outlineLevel="0" collapsed="false">
      <c r="A21" s="7" t="s">
        <v>21</v>
      </c>
      <c r="B21" s="6"/>
      <c r="C21" s="6"/>
      <c r="D21" s="6" t="n">
        <v>250</v>
      </c>
      <c r="E21" s="6"/>
    </row>
    <row r="22" customFormat="false" ht="15" hidden="false" customHeight="false" outlineLevel="0" collapsed="false">
      <c r="A22" s="7"/>
      <c r="B22" s="6"/>
      <c r="C22" s="6"/>
      <c r="D22" s="6"/>
      <c r="E22" s="6"/>
    </row>
    <row r="23" customFormat="false" ht="15" hidden="false" customHeight="false" outlineLevel="0" collapsed="false">
      <c r="A23" s="5" t="s">
        <v>22</v>
      </c>
      <c r="B23" s="6"/>
      <c r="C23" s="6"/>
      <c r="D23" s="6"/>
      <c r="E23" s="6"/>
    </row>
    <row r="24" customFormat="false" ht="15" hidden="false" customHeight="false" outlineLevel="0" collapsed="false">
      <c r="A24" s="7" t="s">
        <v>23</v>
      </c>
      <c r="B24" s="6" t="n">
        <f aca="false">ROUND(1462500*0.01,0)</f>
        <v>14625</v>
      </c>
      <c r="C24" s="6"/>
      <c r="D24" s="6"/>
      <c r="E24" s="6"/>
    </row>
    <row r="25" customFormat="false" ht="15" hidden="false" customHeight="false" outlineLevel="0" collapsed="false">
      <c r="A25" s="7" t="s">
        <v>24</v>
      </c>
      <c r="B25" s="6" t="n">
        <v>450</v>
      </c>
      <c r="C25" s="6"/>
      <c r="D25" s="6"/>
      <c r="E25" s="6"/>
    </row>
    <row r="26" customFormat="false" ht="15" hidden="false" customHeight="false" outlineLevel="0" collapsed="false">
      <c r="A26" s="7" t="s">
        <v>25</v>
      </c>
      <c r="B26" s="6" t="n">
        <v>1200</v>
      </c>
      <c r="C26" s="6"/>
      <c r="D26" s="6"/>
      <c r="E26" s="6"/>
    </row>
    <row r="27" customFormat="false" ht="15" hidden="false" customHeight="false" outlineLevel="0" collapsed="false">
      <c r="A27" s="7" t="s">
        <v>26</v>
      </c>
      <c r="B27" s="6" t="n">
        <v>750</v>
      </c>
      <c r="C27" s="6"/>
      <c r="D27" s="6"/>
      <c r="E27" s="6"/>
    </row>
    <row r="28" customFormat="false" ht="15" hidden="false" customHeight="false" outlineLevel="0" collapsed="false">
      <c r="A28" s="7" t="s">
        <v>27</v>
      </c>
      <c r="B28" s="6" t="n">
        <v>2500</v>
      </c>
      <c r="C28" s="6"/>
      <c r="D28" s="6"/>
      <c r="E28" s="6"/>
    </row>
    <row r="29" customFormat="false" ht="15" hidden="false" customHeight="false" outlineLevel="0" collapsed="false">
      <c r="A29" s="7" t="s">
        <v>28</v>
      </c>
      <c r="B29" s="6" t="n">
        <f aca="false">ROUND(1462500*0.002,0)</f>
        <v>2925</v>
      </c>
      <c r="C29" s="6"/>
      <c r="D29" s="6"/>
      <c r="E29" s="6"/>
    </row>
    <row r="32" customFormat="false" ht="15" hidden="false" customHeight="false" outlineLevel="0" collapsed="false">
      <c r="A32" s="8" t="s">
        <v>29</v>
      </c>
      <c r="B32" s="9" t="n">
        <f aca="false">SUM(B6:B31)</f>
        <v>1972450</v>
      </c>
      <c r="C32" s="9" t="n">
        <f aca="false">SUM(C6:C31)</f>
        <v>96523</v>
      </c>
      <c r="D32" s="9" t="n">
        <f aca="false">SUM(D6:D31)</f>
        <v>1143973</v>
      </c>
      <c r="E32" s="9" t="n">
        <f aca="false">SUM(E6:E31)</f>
        <v>1950000</v>
      </c>
    </row>
    <row r="34" customFormat="false" ht="15" hidden="false" customHeight="false" outlineLevel="0" collapsed="false">
      <c r="A34" s="10" t="s">
        <v>30</v>
      </c>
      <c r="B34" s="11" t="n">
        <f aca="false">B32-C32</f>
        <v>1875927</v>
      </c>
    </row>
    <row r="35" customFormat="false" ht="15" hidden="false" customHeight="false" outlineLevel="0" collapsed="false">
      <c r="A35" s="10" t="s">
        <v>31</v>
      </c>
      <c r="E35" s="11" t="n">
        <f aca="false">E32-D32</f>
        <v>806027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32</v>
      </c>
    </row>
    <row r="3" customFormat="false" ht="15" hidden="false" customHeight="false" outlineLevel="0" collapsed="false">
      <c r="A3" s="12" t="s">
        <v>33</v>
      </c>
      <c r="B3" s="12" t="s">
        <v>34</v>
      </c>
      <c r="C3" s="12" t="s">
        <v>35</v>
      </c>
    </row>
    <row r="4" customFormat="false" ht="15" hidden="false" customHeight="false" outlineLevel="0" collapsed="false">
      <c r="A4" s="7" t="s">
        <v>36</v>
      </c>
      <c r="B4" s="7" t="s">
        <v>37</v>
      </c>
      <c r="C4" s="6" t="n">
        <v>1050</v>
      </c>
    </row>
    <row r="5" customFormat="false" ht="15" hidden="false" customHeight="false" outlineLevel="0" collapsed="false">
      <c r="A5" s="7" t="s">
        <v>38</v>
      </c>
      <c r="B5" s="7" t="s">
        <v>39</v>
      </c>
      <c r="C5" s="6" t="n">
        <v>1100</v>
      </c>
    </row>
    <row r="6" customFormat="false" ht="15" hidden="false" customHeight="false" outlineLevel="0" collapsed="false">
      <c r="A6" s="7" t="s">
        <v>40</v>
      </c>
      <c r="B6" s="7" t="s">
        <v>41</v>
      </c>
      <c r="C6" s="6" t="n">
        <v>950</v>
      </c>
    </row>
    <row r="7" customFormat="false" ht="15" hidden="false" customHeight="false" outlineLevel="0" collapsed="false">
      <c r="A7" s="7" t="s">
        <v>42</v>
      </c>
      <c r="B7" s="7" t="s">
        <v>43</v>
      </c>
      <c r="C7" s="6" t="n">
        <v>1150</v>
      </c>
    </row>
    <row r="8" customFormat="false" ht="15" hidden="false" customHeight="false" outlineLevel="0" collapsed="false">
      <c r="A8" s="7" t="s">
        <v>44</v>
      </c>
      <c r="B8" s="7" t="s">
        <v>45</v>
      </c>
      <c r="C8" s="6" t="n">
        <v>1000</v>
      </c>
    </row>
    <row r="9" customFormat="false" ht="15" hidden="false" customHeight="false" outlineLevel="0" collapsed="false">
      <c r="A9" s="7" t="s">
        <v>46</v>
      </c>
      <c r="B9" s="7" t="s">
        <v>47</v>
      </c>
      <c r="C9" s="6" t="n">
        <v>1350</v>
      </c>
    </row>
    <row r="10" customFormat="false" ht="15" hidden="false" customHeight="false" outlineLevel="0" collapsed="false">
      <c r="A10" s="7" t="s">
        <v>48</v>
      </c>
      <c r="B10" s="7" t="s">
        <v>49</v>
      </c>
      <c r="C10" s="6" t="n">
        <v>1400</v>
      </c>
    </row>
    <row r="11" customFormat="false" ht="15" hidden="false" customHeight="false" outlineLevel="0" collapsed="false">
      <c r="A11" s="7" t="s">
        <v>50</v>
      </c>
      <c r="B11" s="7" t="s">
        <v>51</v>
      </c>
      <c r="C11" s="6" t="n">
        <v>1250</v>
      </c>
    </row>
    <row r="12" customFormat="false" ht="15" hidden="false" customHeight="false" outlineLevel="0" collapsed="false">
      <c r="A12" s="7" t="s">
        <v>52</v>
      </c>
      <c r="B12" s="7" t="s">
        <v>53</v>
      </c>
      <c r="C12" s="6" t="n">
        <v>1300</v>
      </c>
    </row>
    <row r="13" customFormat="false" ht="15" hidden="false" customHeight="false" outlineLevel="0" collapsed="false">
      <c r="A13" s="7" t="s">
        <v>54</v>
      </c>
      <c r="B13" s="7" t="s">
        <v>55</v>
      </c>
      <c r="C13" s="6" t="n">
        <v>1350</v>
      </c>
    </row>
    <row r="14" customFormat="false" ht="15" hidden="false" customHeight="false" outlineLevel="0" collapsed="false">
      <c r="A14" s="7" t="s">
        <v>56</v>
      </c>
      <c r="B14" s="7" t="s">
        <v>57</v>
      </c>
      <c r="C14" s="6" t="n">
        <v>1200</v>
      </c>
    </row>
    <row r="15" customFormat="false" ht="15" hidden="false" customHeight="false" outlineLevel="0" collapsed="false">
      <c r="A15" s="7" t="s">
        <v>58</v>
      </c>
      <c r="B15" s="7" t="s">
        <v>59</v>
      </c>
      <c r="C15" s="6" t="n">
        <v>1400</v>
      </c>
    </row>
    <row r="16" customFormat="false" ht="15" hidden="false" customHeight="false" outlineLevel="0" collapsed="false">
      <c r="A16" s="7" t="s">
        <v>60</v>
      </c>
      <c r="B16" s="7" t="s">
        <v>61</v>
      </c>
      <c r="C16" s="6" t="n">
        <v>1650</v>
      </c>
    </row>
    <row r="17" customFormat="false" ht="15" hidden="false" customHeight="false" outlineLevel="0" collapsed="false">
      <c r="A17" s="7" t="s">
        <v>62</v>
      </c>
      <c r="B17" s="7" t="s">
        <v>63</v>
      </c>
      <c r="C17" s="6" t="n">
        <v>1700</v>
      </c>
    </row>
    <row r="18" customFormat="false" ht="15" hidden="false" customHeight="false" outlineLevel="0" collapsed="false">
      <c r="A18" s="7" t="s">
        <v>64</v>
      </c>
      <c r="B18" s="7" t="s">
        <v>65</v>
      </c>
      <c r="C18" s="6" t="n">
        <v>1550</v>
      </c>
    </row>
    <row r="19" customFormat="false" ht="15" hidden="false" customHeight="false" outlineLevel="0" collapsed="false">
      <c r="A19" s="7" t="s">
        <v>66</v>
      </c>
      <c r="B19" s="7" t="s">
        <v>67</v>
      </c>
      <c r="C19" s="6" t="n">
        <v>1600</v>
      </c>
    </row>
    <row r="20" customFormat="false" ht="15" hidden="false" customHeight="false" outlineLevel="0" collapsed="false">
      <c r="A20" s="5" t="s">
        <v>68</v>
      </c>
      <c r="C20" s="9" t="n">
        <f aca="false">SUM(C4:C19)</f>
        <v>21000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15" hidden="false" customHeight="false" outlineLevel="0" collapsed="false">
      <c r="A4" s="3" t="s">
        <v>71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3" t="s">
        <v>72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3" t="s">
        <v>73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 t="s">
        <v>74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 t="s">
        <v>75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3" t="s">
        <v>76</v>
      </c>
    </row>
    <row r="15" customFormat="false" ht="15" hidden="false" customHeight="false" outlineLevel="0" collapsed="false">
      <c r="A15" s="3" t="s">
        <v>77</v>
      </c>
    </row>
    <row r="16" customFormat="false" ht="15" hidden="false" customHeight="false" outlineLevel="0" collapsed="false">
      <c r="A16" s="3" t="s">
        <v>78</v>
      </c>
    </row>
    <row r="17" customFormat="false" ht="15" hidden="false" customHeight="false" outlineLevel="0" collapsed="false">
      <c r="A17" s="3" t="s">
        <v>79</v>
      </c>
    </row>
    <row r="18" customFormat="false" ht="15" hidden="false" customHeight="false" outlineLevel="0" collapsed="false">
      <c r="A18" s="3" t="s">
        <v>80</v>
      </c>
    </row>
    <row r="19" customFormat="false" ht="15" hidden="false" customHeight="false" outlineLevel="0" collapsed="false">
      <c r="A19" s="3" t="s">
        <v>81</v>
      </c>
    </row>
    <row r="20" customFormat="false" ht="15" hidden="false" customHeight="false" outlineLevel="0" collapsed="false">
      <c r="A20" s="3" t="s">
        <v>82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3" t="s">
        <v>83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3" t="s">
        <v>84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3" t="s">
        <v>85</v>
      </c>
    </row>
    <row r="27" customFormat="false" ht="15" hidden="false" customHeight="false" outlineLevel="0" collapsed="false">
      <c r="A27" s="3" t="s">
        <v>86</v>
      </c>
    </row>
    <row r="28" customFormat="false" ht="15" hidden="false" customHeight="false" outlineLevel="0" collapsed="false">
      <c r="A28" s="3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2026-02-25T23:20:47Z</dcterms:created>
  <dc:creator>openpyxl</dc:creator>
  <dc:description/>
  <dc:language>en-US</dc:language>
  <cp:lastModifiedBy/>
  <dcterms:modified xsi:type="dcterms:W3CDTF">2026-02-25T23:20:47Z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